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5"/>
    <sheet state="visible" name="Sheet17" sheetId="2" r:id="rId6"/>
    <sheet state="visible" name="Sheet18" sheetId="3" r:id="rId7"/>
    <sheet state="visible" name="Sheet16" sheetId="4" r:id="rId8"/>
    <sheet state="visible" name="Sheet15" sheetId="5" r:id="rId9"/>
    <sheet state="visible" name="Sheet14" sheetId="6" r:id="rId10"/>
    <sheet state="visible" name="Sheet8" sheetId="7" r:id="rId11"/>
    <sheet state="visible" name="Sheet9" sheetId="8" r:id="rId12"/>
    <sheet state="visible" name="Sheet10" sheetId="9" r:id="rId13"/>
    <sheet state="visible" name="Sheet12" sheetId="10" r:id="rId14"/>
    <sheet state="visible" name="Sheet13" sheetId="11" r:id="rId15"/>
    <sheet state="visible" name="Sheet11" sheetId="12" r:id="rId16"/>
  </sheets>
  <definedNames/>
  <calcPr/>
</workbook>
</file>

<file path=xl/sharedStrings.xml><?xml version="1.0" encoding="utf-8"?>
<sst xmlns="http://schemas.openxmlformats.org/spreadsheetml/2006/main" count="3045" uniqueCount="943">
  <si>
    <t>ISO code 3</t>
  </si>
  <si>
    <t>ISO Alpha 3</t>
  </si>
  <si>
    <t>Countries</t>
  </si>
  <si>
    <t>ISO Alpha 2</t>
  </si>
  <si>
    <t>Leading commodities exported</t>
  </si>
  <si>
    <t>Commodity dependence</t>
  </si>
  <si>
    <t>Leading destination markets</t>
  </si>
  <si>
    <t>AFG</t>
  </si>
  <si>
    <t>Afghanistan</t>
  </si>
  <si>
    <t>AF</t>
  </si>
  <si>
    <t>ALB</t>
  </si>
  <si>
    <t>Albania</t>
  </si>
  <si>
    <t>AL</t>
  </si>
  <si>
    <t>DZA</t>
  </si>
  <si>
    <t>Algeria</t>
  </si>
  <si>
    <t>DZ</t>
  </si>
  <si>
    <t>AND</t>
  </si>
  <si>
    <t>Andorra</t>
  </si>
  <si>
    <t>AD</t>
  </si>
  <si>
    <t>AGO</t>
  </si>
  <si>
    <t>Angola</t>
  </si>
  <si>
    <t>AO</t>
  </si>
  <si>
    <t>ATG</t>
  </si>
  <si>
    <t>Antigua and Barbuda</t>
  </si>
  <si>
    <t>AG</t>
  </si>
  <si>
    <t>ARG</t>
  </si>
  <si>
    <t>Argentina</t>
  </si>
  <si>
    <t>AR</t>
  </si>
  <si>
    <t>ARM</t>
  </si>
  <si>
    <t>Armenia</t>
  </si>
  <si>
    <t>AM</t>
  </si>
  <si>
    <t>AUS</t>
  </si>
  <si>
    <t>Australia</t>
  </si>
  <si>
    <t>AU</t>
  </si>
  <si>
    <t>AUT</t>
  </si>
  <si>
    <t>Austria</t>
  </si>
  <si>
    <t>AT</t>
  </si>
  <si>
    <t>AZE</t>
  </si>
  <si>
    <t>Azerbaijan</t>
  </si>
  <si>
    <t>AZ</t>
  </si>
  <si>
    <t>BHS</t>
  </si>
  <si>
    <t>Bahamas (the)</t>
  </si>
  <si>
    <t>BS</t>
  </si>
  <si>
    <t>BHR</t>
  </si>
  <si>
    <t>Bahrain</t>
  </si>
  <si>
    <t>BH</t>
  </si>
  <si>
    <t>BGD</t>
  </si>
  <si>
    <t>Bangladesh</t>
  </si>
  <si>
    <t>BD</t>
  </si>
  <si>
    <t>BRB</t>
  </si>
  <si>
    <t>Barbados</t>
  </si>
  <si>
    <t>BB</t>
  </si>
  <si>
    <t>BLR</t>
  </si>
  <si>
    <t>Belarus</t>
  </si>
  <si>
    <t>BY</t>
  </si>
  <si>
    <t>BEL</t>
  </si>
  <si>
    <t>Belgium</t>
  </si>
  <si>
    <t>BE</t>
  </si>
  <si>
    <t>BLZ</t>
  </si>
  <si>
    <t>Belize</t>
  </si>
  <si>
    <t>BZ</t>
  </si>
  <si>
    <t>BEN</t>
  </si>
  <si>
    <t>Benin</t>
  </si>
  <si>
    <t>BJ</t>
  </si>
  <si>
    <t>BTN</t>
  </si>
  <si>
    <t>Bhutan</t>
  </si>
  <si>
    <t>BT</t>
  </si>
  <si>
    <t>BOL</t>
  </si>
  <si>
    <t>Bolivia (Plurinational State of)</t>
  </si>
  <si>
    <t>BO</t>
  </si>
  <si>
    <t>BIH</t>
  </si>
  <si>
    <t>Bosnia and Herzegovina</t>
  </si>
  <si>
    <t>BA</t>
  </si>
  <si>
    <t>BWA</t>
  </si>
  <si>
    <t>Botswana</t>
  </si>
  <si>
    <t>BW</t>
  </si>
  <si>
    <t>BRA</t>
  </si>
  <si>
    <t>Brazil</t>
  </si>
  <si>
    <t>BR</t>
  </si>
  <si>
    <t>BRN</t>
  </si>
  <si>
    <t>Brunei Darussalam</t>
  </si>
  <si>
    <t>BN</t>
  </si>
  <si>
    <t>BGR</t>
  </si>
  <si>
    <t>Bulgaria</t>
  </si>
  <si>
    <t>BG</t>
  </si>
  <si>
    <t>BFA</t>
  </si>
  <si>
    <t>Burkina Faso</t>
  </si>
  <si>
    <t>BF</t>
  </si>
  <si>
    <t>BDI</t>
  </si>
  <si>
    <t>Burundi</t>
  </si>
  <si>
    <t>BI</t>
  </si>
  <si>
    <t>CPV</t>
  </si>
  <si>
    <t>Cabo Verde</t>
  </si>
  <si>
    <t>CV</t>
  </si>
  <si>
    <t>KHM</t>
  </si>
  <si>
    <t>Cambodia</t>
  </si>
  <si>
    <t>KH</t>
  </si>
  <si>
    <t>CMR</t>
  </si>
  <si>
    <t>Cameroon</t>
  </si>
  <si>
    <t>CM</t>
  </si>
  <si>
    <t>CAN</t>
  </si>
  <si>
    <t>Canada</t>
  </si>
  <si>
    <t>CA</t>
  </si>
  <si>
    <t>CAF</t>
  </si>
  <si>
    <t>Central African Republic (the)</t>
  </si>
  <si>
    <t>CF</t>
  </si>
  <si>
    <t>TCD</t>
  </si>
  <si>
    <t>Chad</t>
  </si>
  <si>
    <t>TD</t>
  </si>
  <si>
    <t>CHL</t>
  </si>
  <si>
    <t>Chile</t>
  </si>
  <si>
    <t>CL</t>
  </si>
  <si>
    <t>CHN</t>
  </si>
  <si>
    <t>China</t>
  </si>
  <si>
    <t>CN</t>
  </si>
  <si>
    <t>COL</t>
  </si>
  <si>
    <t>Colombia</t>
  </si>
  <si>
    <t>CO</t>
  </si>
  <si>
    <t>COM</t>
  </si>
  <si>
    <t>Comoros (the)</t>
  </si>
  <si>
    <t>KM</t>
  </si>
  <si>
    <t>COG</t>
  </si>
  <si>
    <t>Congo (the)</t>
  </si>
  <si>
    <t>CG</t>
  </si>
  <si>
    <t>COD</t>
  </si>
  <si>
    <t>Democratic Republic of the Congo (the)</t>
  </si>
  <si>
    <t>CD</t>
  </si>
  <si>
    <t>CRI</t>
  </si>
  <si>
    <t>Costa Rica</t>
  </si>
  <si>
    <t>CR</t>
  </si>
  <si>
    <t>CIV</t>
  </si>
  <si>
    <t>Côte d'Ivoire</t>
  </si>
  <si>
    <t>CI</t>
  </si>
  <si>
    <t>HRV</t>
  </si>
  <si>
    <t>Croatia</t>
  </si>
  <si>
    <t>HR</t>
  </si>
  <si>
    <t>CUB</t>
  </si>
  <si>
    <t>Cuba</t>
  </si>
  <si>
    <t>CU</t>
  </si>
  <si>
    <t>CYP</t>
  </si>
  <si>
    <t>Cyprus</t>
  </si>
  <si>
    <t>CY</t>
  </si>
  <si>
    <t>CZE</t>
  </si>
  <si>
    <t>Czechia</t>
  </si>
  <si>
    <t>CZ</t>
  </si>
  <si>
    <t>DNK</t>
  </si>
  <si>
    <t>Denmark</t>
  </si>
  <si>
    <t>DK</t>
  </si>
  <si>
    <t>DJI</t>
  </si>
  <si>
    <t>Djibouti</t>
  </si>
  <si>
    <t>DJ</t>
  </si>
  <si>
    <t>DMA</t>
  </si>
  <si>
    <t>Dominica</t>
  </si>
  <si>
    <t>DM</t>
  </si>
  <si>
    <t>DOM</t>
  </si>
  <si>
    <t>Dominican Republic (the)</t>
  </si>
  <si>
    <t>DO</t>
  </si>
  <si>
    <t>ECU</t>
  </si>
  <si>
    <t>Ecuador</t>
  </si>
  <si>
    <t>EC</t>
  </si>
  <si>
    <t>EGY</t>
  </si>
  <si>
    <t>Egypt</t>
  </si>
  <si>
    <t>EG</t>
  </si>
  <si>
    <t>SLV</t>
  </si>
  <si>
    <t>El Salvador</t>
  </si>
  <si>
    <t>SV</t>
  </si>
  <si>
    <t>GNQ</t>
  </si>
  <si>
    <t>Equatorial Guinea</t>
  </si>
  <si>
    <t>GQ</t>
  </si>
  <si>
    <t>ERI</t>
  </si>
  <si>
    <t>Eritrea</t>
  </si>
  <si>
    <t>ER</t>
  </si>
  <si>
    <t>EST</t>
  </si>
  <si>
    <t>Estonia</t>
  </si>
  <si>
    <t>EE</t>
  </si>
  <si>
    <t>SWZ</t>
  </si>
  <si>
    <t>Eswatini</t>
  </si>
  <si>
    <t>SZ</t>
  </si>
  <si>
    <t>ETH</t>
  </si>
  <si>
    <t>Ethiopia</t>
  </si>
  <si>
    <t>ET</t>
  </si>
  <si>
    <t>FJI</t>
  </si>
  <si>
    <t>Fiji</t>
  </si>
  <si>
    <t>FJ</t>
  </si>
  <si>
    <t>FIN</t>
  </si>
  <si>
    <t>Finland</t>
  </si>
  <si>
    <t>FI</t>
  </si>
  <si>
    <t>FRA</t>
  </si>
  <si>
    <t>France</t>
  </si>
  <si>
    <t>FR</t>
  </si>
  <si>
    <t>GAB</t>
  </si>
  <si>
    <t>Gabon</t>
  </si>
  <si>
    <t>GA</t>
  </si>
  <si>
    <t>GMB</t>
  </si>
  <si>
    <t>Gambia (the)</t>
  </si>
  <si>
    <t>GM</t>
  </si>
  <si>
    <t>GEO</t>
  </si>
  <si>
    <t>Georgia</t>
  </si>
  <si>
    <t>GE</t>
  </si>
  <si>
    <t>DEU</t>
  </si>
  <si>
    <t>Germany</t>
  </si>
  <si>
    <t>DE</t>
  </si>
  <si>
    <t>GHA</t>
  </si>
  <si>
    <t>Ghana</t>
  </si>
  <si>
    <t>GH</t>
  </si>
  <si>
    <t>GRC</t>
  </si>
  <si>
    <t>Greece</t>
  </si>
  <si>
    <t>GR</t>
  </si>
  <si>
    <t>GRD</t>
  </si>
  <si>
    <t>Grenada</t>
  </si>
  <si>
    <t>GD</t>
  </si>
  <si>
    <t>GTM</t>
  </si>
  <si>
    <t>Guatemala</t>
  </si>
  <si>
    <t>GT</t>
  </si>
  <si>
    <t>GIN</t>
  </si>
  <si>
    <t>Guinea</t>
  </si>
  <si>
    <t>GN</t>
  </si>
  <si>
    <t>GNB</t>
  </si>
  <si>
    <t>Guinea-Bissau</t>
  </si>
  <si>
    <t>GW</t>
  </si>
  <si>
    <t>GUY</t>
  </si>
  <si>
    <t>Guyana</t>
  </si>
  <si>
    <t>GY</t>
  </si>
  <si>
    <t>HTI</t>
  </si>
  <si>
    <t>Haiti</t>
  </si>
  <si>
    <t>HT</t>
  </si>
  <si>
    <t>VAT</t>
  </si>
  <si>
    <t>Holy see (the)</t>
  </si>
  <si>
    <t>VA</t>
  </si>
  <si>
    <t>HND</t>
  </si>
  <si>
    <t>Honduras</t>
  </si>
  <si>
    <t>HN</t>
  </si>
  <si>
    <t>HUN</t>
  </si>
  <si>
    <t>Hungary</t>
  </si>
  <si>
    <t>HU</t>
  </si>
  <si>
    <t>ISL</t>
  </si>
  <si>
    <t>Iceland</t>
  </si>
  <si>
    <t>IS</t>
  </si>
  <si>
    <t>IND</t>
  </si>
  <si>
    <t>India</t>
  </si>
  <si>
    <t>IN</t>
  </si>
  <si>
    <t>IDN</t>
  </si>
  <si>
    <t>Indonesia</t>
  </si>
  <si>
    <t>ID</t>
  </si>
  <si>
    <t>IRN</t>
  </si>
  <si>
    <t>Iran (Islamic Republic of)</t>
  </si>
  <si>
    <t>IR</t>
  </si>
  <si>
    <t>IRQ</t>
  </si>
  <si>
    <t>Iraq</t>
  </si>
  <si>
    <t>IQ</t>
  </si>
  <si>
    <t>IRL</t>
  </si>
  <si>
    <t>Ireland</t>
  </si>
  <si>
    <t>IE</t>
  </si>
  <si>
    <t>ISR</t>
  </si>
  <si>
    <t>Israel</t>
  </si>
  <si>
    <t>IL</t>
  </si>
  <si>
    <t>ITA</t>
  </si>
  <si>
    <t>Italy</t>
  </si>
  <si>
    <t>IT</t>
  </si>
  <si>
    <t>JAM</t>
  </si>
  <si>
    <t>Jamaica</t>
  </si>
  <si>
    <t>JM</t>
  </si>
  <si>
    <t>JPN</t>
  </si>
  <si>
    <t>Japan</t>
  </si>
  <si>
    <t>JP</t>
  </si>
  <si>
    <t>JOR</t>
  </si>
  <si>
    <t>Jordan</t>
  </si>
  <si>
    <t>JO</t>
  </si>
  <si>
    <t>KAZ</t>
  </si>
  <si>
    <t>Kazakhstan</t>
  </si>
  <si>
    <t>KZ</t>
  </si>
  <si>
    <t>KEN</t>
  </si>
  <si>
    <t>Kenya</t>
  </si>
  <si>
    <t>KE</t>
  </si>
  <si>
    <t>KIR</t>
  </si>
  <si>
    <t>Kiribati</t>
  </si>
  <si>
    <t>KI</t>
  </si>
  <si>
    <t>PRK</t>
  </si>
  <si>
    <t>Democratic People’s Republic of Korea (the)</t>
  </si>
  <si>
    <t>KP</t>
  </si>
  <si>
    <t>KOR</t>
  </si>
  <si>
    <t>Republic of Korea (the)</t>
  </si>
  <si>
    <t>KR</t>
  </si>
  <si>
    <t>KWT</t>
  </si>
  <si>
    <t>Kuwait</t>
  </si>
  <si>
    <t>KW</t>
  </si>
  <si>
    <t>KGZ</t>
  </si>
  <si>
    <t>Kyrgyzstan</t>
  </si>
  <si>
    <t>KG</t>
  </si>
  <si>
    <t>LAO</t>
  </si>
  <si>
    <t>Lao People's Democratic Republic (the)</t>
  </si>
  <si>
    <t>LA</t>
  </si>
  <si>
    <t>LVA</t>
  </si>
  <si>
    <t>Latvia</t>
  </si>
  <si>
    <t>LV</t>
  </si>
  <si>
    <t>LBN</t>
  </si>
  <si>
    <t>Lebanon</t>
  </si>
  <si>
    <t>LB</t>
  </si>
  <si>
    <t>LSO</t>
  </si>
  <si>
    <t>Lesotho</t>
  </si>
  <si>
    <t>LS</t>
  </si>
  <si>
    <t>LBR</t>
  </si>
  <si>
    <t>Liberia</t>
  </si>
  <si>
    <t>LR</t>
  </si>
  <si>
    <t>LBY</t>
  </si>
  <si>
    <t>Libya</t>
  </si>
  <si>
    <t>LY</t>
  </si>
  <si>
    <t>LTU</t>
  </si>
  <si>
    <t>Lithuania</t>
  </si>
  <si>
    <t>LT</t>
  </si>
  <si>
    <t>LUX</t>
  </si>
  <si>
    <t>Luxembourg</t>
  </si>
  <si>
    <t>LU</t>
  </si>
  <si>
    <t>MDG</t>
  </si>
  <si>
    <t>Madagascar</t>
  </si>
  <si>
    <t>MG</t>
  </si>
  <si>
    <t>MWI</t>
  </si>
  <si>
    <t>Malawi</t>
  </si>
  <si>
    <t>MW</t>
  </si>
  <si>
    <t>MYS</t>
  </si>
  <si>
    <t>Malaysia</t>
  </si>
  <si>
    <t>MY</t>
  </si>
  <si>
    <t>MDV</t>
  </si>
  <si>
    <t>Maldives</t>
  </si>
  <si>
    <t>MV</t>
  </si>
  <si>
    <t>MLI</t>
  </si>
  <si>
    <t>Mali</t>
  </si>
  <si>
    <t>ML</t>
  </si>
  <si>
    <t>MLT</t>
  </si>
  <si>
    <t>Malta</t>
  </si>
  <si>
    <t>MT</t>
  </si>
  <si>
    <t>MHL</t>
  </si>
  <si>
    <t>Marshall Islands (the)</t>
  </si>
  <si>
    <t>MH</t>
  </si>
  <si>
    <t>MRT</t>
  </si>
  <si>
    <t>Mauritania</t>
  </si>
  <si>
    <t>MR</t>
  </si>
  <si>
    <t>MUS</t>
  </si>
  <si>
    <t>Mauritius</t>
  </si>
  <si>
    <t>MU</t>
  </si>
  <si>
    <t>MEX</t>
  </si>
  <si>
    <t>Mexico</t>
  </si>
  <si>
    <t>MX</t>
  </si>
  <si>
    <t>FSM</t>
  </si>
  <si>
    <t>Micronesia (Federated States of)</t>
  </si>
  <si>
    <t>FM</t>
  </si>
  <si>
    <t>MDA</t>
  </si>
  <si>
    <t>Republic of Moldova (the)</t>
  </si>
  <si>
    <t>MD</t>
  </si>
  <si>
    <t>MCO</t>
  </si>
  <si>
    <t>Monaco</t>
  </si>
  <si>
    <t>MC</t>
  </si>
  <si>
    <t>MNG</t>
  </si>
  <si>
    <t>Mongolia</t>
  </si>
  <si>
    <t>MN</t>
  </si>
  <si>
    <t>MNE</t>
  </si>
  <si>
    <t>Montenegro</t>
  </si>
  <si>
    <t>ME</t>
  </si>
  <si>
    <t>MAR</t>
  </si>
  <si>
    <t>Morocco</t>
  </si>
  <si>
    <t>MA</t>
  </si>
  <si>
    <t>MOZ</t>
  </si>
  <si>
    <t>Mozambique</t>
  </si>
  <si>
    <t>MZ</t>
  </si>
  <si>
    <t>MMR</t>
  </si>
  <si>
    <t>Myanmar</t>
  </si>
  <si>
    <t>MM</t>
  </si>
  <si>
    <t>NAM</t>
  </si>
  <si>
    <t>Namibia</t>
  </si>
  <si>
    <t>NA</t>
  </si>
  <si>
    <t>NRU</t>
  </si>
  <si>
    <t>Nauru</t>
  </si>
  <si>
    <t>NR</t>
  </si>
  <si>
    <t>NPL</t>
  </si>
  <si>
    <t>Nepal</t>
  </si>
  <si>
    <t>NP</t>
  </si>
  <si>
    <t>NLD</t>
  </si>
  <si>
    <t>Netherlands (Kingdom of the)</t>
  </si>
  <si>
    <t>NL</t>
  </si>
  <si>
    <t>NZL</t>
  </si>
  <si>
    <t>New Zealand</t>
  </si>
  <si>
    <t>NZ</t>
  </si>
  <si>
    <t>NIC</t>
  </si>
  <si>
    <t>Nicaragua</t>
  </si>
  <si>
    <t>NI</t>
  </si>
  <si>
    <t>NER</t>
  </si>
  <si>
    <t>Niger (the)</t>
  </si>
  <si>
    <t>NE</t>
  </si>
  <si>
    <t>NGA</t>
  </si>
  <si>
    <t>Nigeria</t>
  </si>
  <si>
    <t>NG</t>
  </si>
  <si>
    <t>MKD</t>
  </si>
  <si>
    <t>North Macedonia</t>
  </si>
  <si>
    <t>MK</t>
  </si>
  <si>
    <t>NOR</t>
  </si>
  <si>
    <t>Norway</t>
  </si>
  <si>
    <t>NO</t>
  </si>
  <si>
    <t>OMN</t>
  </si>
  <si>
    <t>Oman</t>
  </si>
  <si>
    <t>OM</t>
  </si>
  <si>
    <t>PAK</t>
  </si>
  <si>
    <t>Pakistan</t>
  </si>
  <si>
    <t>PK</t>
  </si>
  <si>
    <t>PLW</t>
  </si>
  <si>
    <t>Palau</t>
  </si>
  <si>
    <t>PW</t>
  </si>
  <si>
    <t>PAN</t>
  </si>
  <si>
    <t>Panama</t>
  </si>
  <si>
    <t>PA</t>
  </si>
  <si>
    <t>PNG</t>
  </si>
  <si>
    <t>Papua New Guinea</t>
  </si>
  <si>
    <t>PG</t>
  </si>
  <si>
    <t>PRY</t>
  </si>
  <si>
    <t>Paraguay</t>
  </si>
  <si>
    <t>PY</t>
  </si>
  <si>
    <t>PER</t>
  </si>
  <si>
    <t>Peru</t>
  </si>
  <si>
    <t>PE</t>
  </si>
  <si>
    <t>PHL</t>
  </si>
  <si>
    <t>Philippines (the)</t>
  </si>
  <si>
    <t>PH</t>
  </si>
  <si>
    <t>POL</t>
  </si>
  <si>
    <t>Poland</t>
  </si>
  <si>
    <t>PL</t>
  </si>
  <si>
    <t>PRT</t>
  </si>
  <si>
    <t>Portugal</t>
  </si>
  <si>
    <t>PT</t>
  </si>
  <si>
    <t>QAT</t>
  </si>
  <si>
    <t>Qatar</t>
  </si>
  <si>
    <t>QA</t>
  </si>
  <si>
    <t>ROU</t>
  </si>
  <si>
    <t>Romania</t>
  </si>
  <si>
    <t>RO</t>
  </si>
  <si>
    <t>RUS</t>
  </si>
  <si>
    <t>Russian Federation (the)</t>
  </si>
  <si>
    <t>RU</t>
  </si>
  <si>
    <t>RWA</t>
  </si>
  <si>
    <t>Rwanda</t>
  </si>
  <si>
    <t>RW</t>
  </si>
  <si>
    <t>KNA</t>
  </si>
  <si>
    <t>Saint Kitts and Nevis</t>
  </si>
  <si>
    <t>KN</t>
  </si>
  <si>
    <t>LCA</t>
  </si>
  <si>
    <t>Saint Lucia</t>
  </si>
  <si>
    <t>LC</t>
  </si>
  <si>
    <t>VCT</t>
  </si>
  <si>
    <t>Saint Vincent and the Grenadines</t>
  </si>
  <si>
    <t>VC</t>
  </si>
  <si>
    <t>WSM</t>
  </si>
  <si>
    <t>Samoa</t>
  </si>
  <si>
    <t>WS</t>
  </si>
  <si>
    <t>SMR</t>
  </si>
  <si>
    <t>San Marino</t>
  </si>
  <si>
    <t>SM</t>
  </si>
  <si>
    <t>STP</t>
  </si>
  <si>
    <t>Sao Tome and Principe</t>
  </si>
  <si>
    <t>ST</t>
  </si>
  <si>
    <t>SAU</t>
  </si>
  <si>
    <t>Saudi Arabia</t>
  </si>
  <si>
    <t>SA</t>
  </si>
  <si>
    <t>SEN</t>
  </si>
  <si>
    <t>Senegal</t>
  </si>
  <si>
    <t>SN</t>
  </si>
  <si>
    <t>SRB</t>
  </si>
  <si>
    <t>Serbia</t>
  </si>
  <si>
    <t>RS</t>
  </si>
  <si>
    <t>SYC</t>
  </si>
  <si>
    <t>Seychelles</t>
  </si>
  <si>
    <t>SC</t>
  </si>
  <si>
    <t>SLE</t>
  </si>
  <si>
    <t>Sierra Leone</t>
  </si>
  <si>
    <t>SL</t>
  </si>
  <si>
    <t>SGP</t>
  </si>
  <si>
    <t>Singapore</t>
  </si>
  <si>
    <t>SG</t>
  </si>
  <si>
    <t>SVK</t>
  </si>
  <si>
    <t>Slovakia</t>
  </si>
  <si>
    <t>SK</t>
  </si>
  <si>
    <t>SVN</t>
  </si>
  <si>
    <t>Slovenia</t>
  </si>
  <si>
    <t>SI</t>
  </si>
  <si>
    <t>SLB</t>
  </si>
  <si>
    <t>Solomon Islands</t>
  </si>
  <si>
    <t>SB</t>
  </si>
  <si>
    <t>SOM</t>
  </si>
  <si>
    <t>Somalia</t>
  </si>
  <si>
    <t>SO</t>
  </si>
  <si>
    <t>ZAF</t>
  </si>
  <si>
    <t>South Africa</t>
  </si>
  <si>
    <t>ZA</t>
  </si>
  <si>
    <t>SSD</t>
  </si>
  <si>
    <t>South Sudan</t>
  </si>
  <si>
    <t>SS</t>
  </si>
  <si>
    <t>ESP</t>
  </si>
  <si>
    <t>Spain</t>
  </si>
  <si>
    <t>ES</t>
  </si>
  <si>
    <t>LKA</t>
  </si>
  <si>
    <t>Sri Lanka</t>
  </si>
  <si>
    <t>LK</t>
  </si>
  <si>
    <t>PSE</t>
  </si>
  <si>
    <t>State of Palestine (the)</t>
  </si>
  <si>
    <t>PS</t>
  </si>
  <si>
    <t>SDN</t>
  </si>
  <si>
    <t>Sudan (the)</t>
  </si>
  <si>
    <t>SD</t>
  </si>
  <si>
    <t>SUR</t>
  </si>
  <si>
    <t>Suriname</t>
  </si>
  <si>
    <t>SR</t>
  </si>
  <si>
    <t>SWE</t>
  </si>
  <si>
    <t>Sweden</t>
  </si>
  <si>
    <t>SE</t>
  </si>
  <si>
    <t>CHE</t>
  </si>
  <si>
    <t>Switzerland (including Liechtenstein)</t>
  </si>
  <si>
    <t>CH</t>
  </si>
  <si>
    <t>LIE</t>
  </si>
  <si>
    <t>Liechtenstein</t>
  </si>
  <si>
    <t>LI</t>
  </si>
  <si>
    <t>SYR</t>
  </si>
  <si>
    <t>Syrian Arab Republic (the)</t>
  </si>
  <si>
    <t>SY</t>
  </si>
  <si>
    <t>TJK</t>
  </si>
  <si>
    <t>Tajikistan</t>
  </si>
  <si>
    <t>TJ</t>
  </si>
  <si>
    <t>TZA</t>
  </si>
  <si>
    <t>United Republic of Tanzania (the)</t>
  </si>
  <si>
    <t>TZ</t>
  </si>
  <si>
    <t>THA</t>
  </si>
  <si>
    <t>Thailand</t>
  </si>
  <si>
    <t>TH</t>
  </si>
  <si>
    <t>TLS</t>
  </si>
  <si>
    <t>Timor-Leste</t>
  </si>
  <si>
    <t>TL</t>
  </si>
  <si>
    <t>TGO</t>
  </si>
  <si>
    <t>Togo</t>
  </si>
  <si>
    <t>TG</t>
  </si>
  <si>
    <t>TON</t>
  </si>
  <si>
    <t>Tonga</t>
  </si>
  <si>
    <t>TO</t>
  </si>
  <si>
    <t>TTO</t>
  </si>
  <si>
    <t>Trinidad and Tobago</t>
  </si>
  <si>
    <t>TT</t>
  </si>
  <si>
    <t>TUN</t>
  </si>
  <si>
    <t>Tunisia</t>
  </si>
  <si>
    <t>TN</t>
  </si>
  <si>
    <t>TUR</t>
  </si>
  <si>
    <t>Türkiye</t>
  </si>
  <si>
    <t>TR</t>
  </si>
  <si>
    <t>TKM</t>
  </si>
  <si>
    <t>Turkmenistan</t>
  </si>
  <si>
    <t>TM</t>
  </si>
  <si>
    <t>TUV</t>
  </si>
  <si>
    <t>Tuvalu</t>
  </si>
  <si>
    <t>TV</t>
  </si>
  <si>
    <t>UGA</t>
  </si>
  <si>
    <t>Uganda</t>
  </si>
  <si>
    <t>UG</t>
  </si>
  <si>
    <t>UKR</t>
  </si>
  <si>
    <t>Ukraine</t>
  </si>
  <si>
    <t>UA</t>
  </si>
  <si>
    <t>ARE</t>
  </si>
  <si>
    <t>United Arab Emirates (the)</t>
  </si>
  <si>
    <t>AE</t>
  </si>
  <si>
    <t>GBR</t>
  </si>
  <si>
    <t>United Kingdom of Great Britain and Northern Ireland (the)</t>
  </si>
  <si>
    <t>GB</t>
  </si>
  <si>
    <t>USA</t>
  </si>
  <si>
    <t>United States of America (the)</t>
  </si>
  <si>
    <t>US</t>
  </si>
  <si>
    <t>URY</t>
  </si>
  <si>
    <t>Uruguay</t>
  </si>
  <si>
    <t>UY</t>
  </si>
  <si>
    <t>UZB</t>
  </si>
  <si>
    <t>Uzbekistan</t>
  </si>
  <si>
    <t>UZ</t>
  </si>
  <si>
    <t>VUT</t>
  </si>
  <si>
    <t>Vanuatu</t>
  </si>
  <si>
    <t>VU</t>
  </si>
  <si>
    <t>VEN</t>
  </si>
  <si>
    <t>Venezuela (Bolivarian Republic of)</t>
  </si>
  <si>
    <t>VE</t>
  </si>
  <si>
    <t>VNM</t>
  </si>
  <si>
    <t>Viet Nam</t>
  </si>
  <si>
    <t>VN</t>
  </si>
  <si>
    <t>YEM</t>
  </si>
  <si>
    <t>Yemen</t>
  </si>
  <si>
    <t>YE</t>
  </si>
  <si>
    <t>ZMB</t>
  </si>
  <si>
    <t>Zambia</t>
  </si>
  <si>
    <t>ZM</t>
  </si>
  <si>
    <t>ZWE</t>
  </si>
  <si>
    <t>Zimbabwe</t>
  </si>
  <si>
    <t>ZW</t>
  </si>
  <si>
    <t>Commodity dependence (%)</t>
  </si>
  <si>
    <t>Leading destination markets (%)</t>
  </si>
  <si>
    <t>number</t>
  </si>
  <si>
    <t>indicator</t>
  </si>
  <si>
    <t>indicator_full</t>
  </si>
  <si>
    <t>indicator_key</t>
  </si>
  <si>
    <t>desire</t>
  </si>
  <si>
    <t>decimals</t>
  </si>
  <si>
    <t>indicator_short</t>
  </si>
  <si>
    <t>format</t>
  </si>
  <si>
    <t>group</t>
  </si>
  <si>
    <t>round_digits</t>
  </si>
  <si>
    <t>max_label</t>
  </si>
  <si>
    <t>max_overall_label</t>
  </si>
  <si>
    <t>min</t>
  </si>
  <si>
    <t>max</t>
  </si>
  <si>
    <t>min_overall</t>
  </si>
  <si>
    <t>max_overall</t>
  </si>
  <si>
    <t>gov_debt_to_gdp_perc</t>
  </si>
  <si>
    <t>Public debt as a share of GDP</t>
  </si>
  <si>
    <t>Lower is better</t>
  </si>
  <si>
    <t>as a share of GDP</t>
  </si>
  <si>
    <t>percent</t>
  </si>
  <si>
    <t>Public debt</t>
  </si>
  <si>
    <t>gov_debt_usd_billions</t>
  </si>
  <si>
    <t>Public debt in US$ billions</t>
  </si>
  <si>
    <t>in US$ billions</t>
  </si>
  <si>
    <t>dollar</t>
  </si>
  <si>
    <t>gov_debt_usd_per_capita</t>
  </si>
  <si>
    <t>Public debt in US$ per capita</t>
  </si>
  <si>
    <t>Neutral</t>
  </si>
  <si>
    <t>in US$ per capita</t>
  </si>
  <si>
    <t>external_ppg_perc_gdp</t>
  </si>
  <si>
    <t>External public debt as a share of GDP</t>
  </si>
  <si>
    <t>External public debt</t>
  </si>
  <si>
    <t>external_ppg_usd_billions</t>
  </si>
  <si>
    <t>External public debt in US$ billions</t>
  </si>
  <si>
    <t>external_ppg_per_capita</t>
  </si>
  <si>
    <t>External public debt in US$ per capita</t>
  </si>
  <si>
    <t>multilateral_share_external_ppg</t>
  </si>
  <si>
    <t>Multilateral creditors as a share of external public debt</t>
  </si>
  <si>
    <t>multilateral</t>
  </si>
  <si>
    <t>External public debt by creditor</t>
  </si>
  <si>
    <t>bilateral_share_external_ppg</t>
  </si>
  <si>
    <t>Bilateral creditors as a share of external public debt</t>
  </si>
  <si>
    <t>bilateral</t>
  </si>
  <si>
    <t>private_share_external_ppg</t>
  </si>
  <si>
    <t>Private creditors as a share of external public debt</t>
  </si>
  <si>
    <t>private</t>
  </si>
  <si>
    <t>gov_net_interest_perc_gdp</t>
  </si>
  <si>
    <t>Public debt interest payments as a share of GDP</t>
  </si>
  <si>
    <t>Public debt interest payments</t>
  </si>
  <si>
    <t>gov_net_interest_perc_revenues</t>
  </si>
  <si>
    <t>Public debt interest payments as a share of revenues</t>
  </si>
  <si>
    <t>as a share of net revenue</t>
  </si>
  <si>
    <t>gov_net_interest_per_capita</t>
  </si>
  <si>
    <t>Public debt interest payments in US$ per capita</t>
  </si>
  <si>
    <t>edu_spending_perc_gdp</t>
  </si>
  <si>
    <t>Public education expenditure as a share of GDP</t>
  </si>
  <si>
    <t>Higher is better</t>
  </si>
  <si>
    <t>education as a share of GDP</t>
  </si>
  <si>
    <t>Development spending</t>
  </si>
  <si>
    <t>health_spending_perc_gdp</t>
  </si>
  <si>
    <t>Public health expenditure as share of GDP</t>
  </si>
  <si>
    <t>health as a share of GDP</t>
  </si>
  <si>
    <t>gov_spending_perc_gdp</t>
  </si>
  <si>
    <t>Public investment expenditure as a share of GDP</t>
  </si>
  <si>
    <t>gov_investment_perc_gdp</t>
  </si>
  <si>
    <t>investment as a share of GDP</t>
  </si>
  <si>
    <t>edu_spending_perc_net_interest</t>
  </si>
  <si>
    <t>Ratio of public interest payments to education expenditure</t>
  </si>
  <si>
    <t>ratio of net interest to education</t>
  </si>
  <si>
    <t>Debt burden relative to development spending</t>
  </si>
  <si>
    <t>health_spending_perc_net_interest</t>
  </si>
  <si>
    <t>Ratio of public interest payments to health expenditure</t>
  </si>
  <si>
    <t>ratio of net interest to health</t>
  </si>
  <si>
    <t>gov_spending_perc_net_interest</t>
  </si>
  <si>
    <t>Ratio of public interest payments to investment expenditure</t>
  </si>
  <si>
    <t>gov_investment_perc_net_interest</t>
  </si>
  <si>
    <t>ratio of net interest to investment</t>
  </si>
  <si>
    <t>WOrks</t>
  </si>
  <si>
    <t>Government expenditure as a share of GDP</t>
  </si>
  <si>
    <t>public spend. as a share of GDP</t>
  </si>
  <si>
    <t>Ratio of public interest payments to government expenditure</t>
  </si>
  <si>
    <t>ratio of net interest to public spend.</t>
  </si>
  <si>
    <t>Date</t>
  </si>
  <si>
    <t>All goods</t>
  </si>
  <si>
    <t>All services</t>
  </si>
  <si>
    <t>Marine and coastal tourism</t>
  </si>
  <si>
    <t>Maritime transport and related services: passengers</t>
  </si>
  <si>
    <t>Maritime transport and related services: freight</t>
  </si>
  <si>
    <t>Port services, related infrastructure services and logistical services</t>
  </si>
  <si>
    <t>Marine research and development and related licenses</t>
  </si>
  <si>
    <t>Other services</t>
  </si>
  <si>
    <t>Ocean trade, 2025</t>
  </si>
  <si>
    <t>Total trade, 2025</t>
  </si>
  <si>
    <t>Ocean trade, 2020</t>
  </si>
  <si>
    <t>Total trade, 2020</t>
  </si>
  <si>
    <t>date</t>
  </si>
  <si>
    <t>crude</t>
  </si>
  <si>
    <t>gasoline</t>
  </si>
  <si>
    <t>02-Sept-24</t>
  </si>
  <si>
    <t>03-Sept-24</t>
  </si>
  <si>
    <t>04-Sept-24</t>
  </si>
  <si>
    <t>05-Sept-24</t>
  </si>
  <si>
    <t>06-Sept-24</t>
  </si>
  <si>
    <t>09-Sept-24</t>
  </si>
  <si>
    <t>10-Sept-24</t>
  </si>
  <si>
    <t>11-Sept-24</t>
  </si>
  <si>
    <t>12-Sept-24</t>
  </si>
  <si>
    <t>13-Sept-24</t>
  </si>
  <si>
    <t>16-Sept-24</t>
  </si>
  <si>
    <t>17-Sept-24</t>
  </si>
  <si>
    <t>18-Sept-24</t>
  </si>
  <si>
    <t>19-Sept-24</t>
  </si>
  <si>
    <t>20-Sept-24</t>
  </si>
  <si>
    <t>23-Sept-24</t>
  </si>
  <si>
    <t>24-Sept-24</t>
  </si>
  <si>
    <t>25-Sept-24</t>
  </si>
  <si>
    <t>26-Sept-24</t>
  </si>
  <si>
    <t>27-Sept-24</t>
  </si>
  <si>
    <t>30-Sept-24</t>
  </si>
  <si>
    <t>01-Sept-25</t>
  </si>
  <si>
    <t>02-Sept-25</t>
  </si>
  <si>
    <t>03-Sept-25</t>
  </si>
  <si>
    <t>04-Sept-25</t>
  </si>
  <si>
    <t>05-Sept-25</t>
  </si>
  <si>
    <t>08-Sept-25</t>
  </si>
  <si>
    <t>09-Sept-25</t>
  </si>
  <si>
    <t>10-Sept-25</t>
  </si>
  <si>
    <t>11-Sept-25</t>
  </si>
  <si>
    <t>12-Sept-25</t>
  </si>
  <si>
    <t>15-Sept-25</t>
  </si>
  <si>
    <t>16-Sept-25</t>
  </si>
  <si>
    <t>17-Sept-25</t>
  </si>
  <si>
    <t>18-Sept-25</t>
  </si>
  <si>
    <t>19-Sept-25</t>
  </si>
  <si>
    <t>22-Sept-25</t>
  </si>
  <si>
    <t>23-Sept-25</t>
  </si>
  <si>
    <t>24-Sept-25</t>
  </si>
  <si>
    <t>25-Sept-25</t>
  </si>
  <si>
    <t>26-Sept-25</t>
  </si>
  <si>
    <t>29-Sept-25</t>
  </si>
  <si>
    <t>30-Sept-25</t>
  </si>
  <si>
    <t>UNCTAD_region</t>
  </si>
  <si>
    <t>gdp_per_capita</t>
  </si>
  <si>
    <t>wealth_99_perc</t>
  </si>
  <si>
    <t>Eastern Europe</t>
  </si>
  <si>
    <t>Southern Europe</t>
  </si>
  <si>
    <t>value</t>
  </si>
  <si>
    <t>label</t>
  </si>
  <si>
    <t>Northern Africa</t>
  </si>
  <si>
    <t>GDP per Capita</t>
  </si>
  <si>
    <t>Share of people who say most people can be trusted</t>
  </si>
  <si>
    <t>Western Asia</t>
  </si>
  <si>
    <t>Group</t>
  </si>
  <si>
    <t>Value</t>
  </si>
  <si>
    <t>iso3</t>
  </si>
  <si>
    <t>Satisfaction with public services</t>
  </si>
  <si>
    <t>Country</t>
  </si>
  <si>
    <t>Gross domestic product (GDP) per capita</t>
  </si>
  <si>
    <t xml:space="preserve"> </t>
  </si>
  <si>
    <t>Share reporting discrimination or harassment</t>
  </si>
  <si>
    <t>GDP per capita (log scale)</t>
  </si>
  <si>
    <t>GDP per capita</t>
  </si>
  <si>
    <t>developing</t>
  </si>
  <si>
    <t>Current Well-being</t>
  </si>
  <si>
    <t>Equity &amp; Inclusion</t>
  </si>
  <si>
    <t>Foundational Principles</t>
  </si>
  <si>
    <t>Sustainability &amp; Resilience</t>
  </si>
  <si>
    <t>Developed</t>
  </si>
  <si>
    <t>Developing</t>
  </si>
  <si>
    <t>proportion</t>
  </si>
  <si>
    <t>developed</t>
  </si>
  <si>
    <t>Alpha-3 code</t>
  </si>
  <si>
    <t>Alpha-2 code</t>
  </si>
  <si>
    <t>Numeric</t>
  </si>
  <si>
    <t>ASM</t>
  </si>
  <si>
    <t>American Samoa</t>
  </si>
  <si>
    <t>AS</t>
  </si>
  <si>
    <t>AIA</t>
  </si>
  <si>
    <t>Anguilla</t>
  </si>
  <si>
    <t>AI</t>
  </si>
  <si>
    <t>ATA</t>
  </si>
  <si>
    <t>Antarctica</t>
  </si>
  <si>
    <t>AQ</t>
  </si>
  <si>
    <t>ABW</t>
  </si>
  <si>
    <t>Aruba</t>
  </si>
  <si>
    <t>AW</t>
  </si>
  <si>
    <t>BMU</t>
  </si>
  <si>
    <t>Bermuda</t>
  </si>
  <si>
    <t>BM</t>
  </si>
  <si>
    <t>BES</t>
  </si>
  <si>
    <t>Bonaire, Sint Eustatius and Saba</t>
  </si>
  <si>
    <t>BQ</t>
  </si>
  <si>
    <t>BVT</t>
  </si>
  <si>
    <t>Bouvet Island</t>
  </si>
  <si>
    <t>BV</t>
  </si>
  <si>
    <t>IOT</t>
  </si>
  <si>
    <t>British Indian Ocean Territory (the)</t>
  </si>
  <si>
    <t>IO</t>
  </si>
  <si>
    <t>CYM</t>
  </si>
  <si>
    <t>Cayman Islands (the)</t>
  </si>
  <si>
    <t>KY</t>
  </si>
  <si>
    <t>CXR</t>
  </si>
  <si>
    <t>Christmas Island</t>
  </si>
  <si>
    <t>CX</t>
  </si>
  <si>
    <t>CCK</t>
  </si>
  <si>
    <t>Cocos (Keeling) Islands (the)</t>
  </si>
  <si>
    <t>CC</t>
  </si>
  <si>
    <t>Congo (the Democratic Republic of the)</t>
  </si>
  <si>
    <t>COK</t>
  </si>
  <si>
    <t>Cook Islands (the)</t>
  </si>
  <si>
    <t>CK</t>
  </si>
  <si>
    <t>CUW</t>
  </si>
  <si>
    <t>Curaçao</t>
  </si>
  <si>
    <t>CW</t>
  </si>
  <si>
    <t>FLK</t>
  </si>
  <si>
    <t>Falkland Islands (the) [Malvinas]</t>
  </si>
  <si>
    <t>FK</t>
  </si>
  <si>
    <t>FRO</t>
  </si>
  <si>
    <t>Faroe Islands (the)</t>
  </si>
  <si>
    <t>FO</t>
  </si>
  <si>
    <t>GUF</t>
  </si>
  <si>
    <t>French Guiana</t>
  </si>
  <si>
    <t>GF</t>
  </si>
  <si>
    <t>PYF</t>
  </si>
  <si>
    <t>French Polynesia</t>
  </si>
  <si>
    <t>PF</t>
  </si>
  <si>
    <t>ATF</t>
  </si>
  <si>
    <t>French Southern Territories (the)</t>
  </si>
  <si>
    <t>TF</t>
  </si>
  <si>
    <t>GIB</t>
  </si>
  <si>
    <t>Gibraltar</t>
  </si>
  <si>
    <t>GI</t>
  </si>
  <si>
    <t>GRL</t>
  </si>
  <si>
    <t>Greenland</t>
  </si>
  <si>
    <t>GL</t>
  </si>
  <si>
    <t>GLP</t>
  </si>
  <si>
    <t>Guadeloupe</t>
  </si>
  <si>
    <t>GP</t>
  </si>
  <si>
    <t>GUM</t>
  </si>
  <si>
    <t>Guam</t>
  </si>
  <si>
    <t>GU</t>
  </si>
  <si>
    <t>GGY</t>
  </si>
  <si>
    <t>Guernsey</t>
  </si>
  <si>
    <t>GG</t>
  </si>
  <si>
    <t>HMD</t>
  </si>
  <si>
    <t>Heard Island and McDonald Islands</t>
  </si>
  <si>
    <t>HM</t>
  </si>
  <si>
    <t>Holy See (the)</t>
  </si>
  <si>
    <t>HKG</t>
  </si>
  <si>
    <t>Hong Kong</t>
  </si>
  <si>
    <t>HK</t>
  </si>
  <si>
    <t>IMN</t>
  </si>
  <si>
    <t>Isle of Man</t>
  </si>
  <si>
    <t>IM</t>
  </si>
  <si>
    <t>JEY</t>
  </si>
  <si>
    <t>Jersey</t>
  </si>
  <si>
    <t>JE</t>
  </si>
  <si>
    <t>Korea (the Democratic People's Republic of)</t>
  </si>
  <si>
    <t>Korea (the Republic of)</t>
  </si>
  <si>
    <t>MAC</t>
  </si>
  <si>
    <t>Macao</t>
  </si>
  <si>
    <t>MO</t>
  </si>
  <si>
    <t>MTQ</t>
  </si>
  <si>
    <t>Martinique</t>
  </si>
  <si>
    <t>MQ</t>
  </si>
  <si>
    <t>MYT</t>
  </si>
  <si>
    <t>Mayotte</t>
  </si>
  <si>
    <t>YT</t>
  </si>
  <si>
    <t>Moldova (the Republic of)</t>
  </si>
  <si>
    <t>MSR</t>
  </si>
  <si>
    <t>Montserrat</t>
  </si>
  <si>
    <t>MS</t>
  </si>
  <si>
    <t>Netherlands (the)</t>
  </si>
  <si>
    <t>NCL</t>
  </si>
  <si>
    <t>New Caledonia</t>
  </si>
  <si>
    <t>NC</t>
  </si>
  <si>
    <t>NIU</t>
  </si>
  <si>
    <t>Niue</t>
  </si>
  <si>
    <t>NU</t>
  </si>
  <si>
    <t>NFK</t>
  </si>
  <si>
    <t>Norfolk Island</t>
  </si>
  <si>
    <t>NF</t>
  </si>
  <si>
    <t>MNP</t>
  </si>
  <si>
    <t>Northern Mariana Islands (the)</t>
  </si>
  <si>
    <t>MP</t>
  </si>
  <si>
    <t>Palestine, State of</t>
  </si>
  <si>
    <t>PCN</t>
  </si>
  <si>
    <t>Pitcairn</t>
  </si>
  <si>
    <t>PN</t>
  </si>
  <si>
    <t>PRI</t>
  </si>
  <si>
    <t>Puerto Rico</t>
  </si>
  <si>
    <t>PR</t>
  </si>
  <si>
    <t>Republic of North Macedonia</t>
  </si>
  <si>
    <t>REU</t>
  </si>
  <si>
    <t>Réunion</t>
  </si>
  <si>
    <t>RE</t>
  </si>
  <si>
    <t>BLM</t>
  </si>
  <si>
    <t>Saint Barthélemy</t>
  </si>
  <si>
    <t>BL</t>
  </si>
  <si>
    <t>SHN</t>
  </si>
  <si>
    <t>Saint Helena, Ascension and Tristan da Cunha</t>
  </si>
  <si>
    <t>SH</t>
  </si>
  <si>
    <t>MAF</t>
  </si>
  <si>
    <t>Saint Martin (French part)</t>
  </si>
  <si>
    <t>MF</t>
  </si>
  <si>
    <t>SPM</t>
  </si>
  <si>
    <t>Saint Pierre and Miquelon</t>
  </si>
  <si>
    <t>PM</t>
  </si>
  <si>
    <t>SXM</t>
  </si>
  <si>
    <t>Sint Maarten (Dutch part)</t>
  </si>
  <si>
    <t>SX</t>
  </si>
  <si>
    <t>SGS</t>
  </si>
  <si>
    <t>South Georgia and the South Sandwich Islands</t>
  </si>
  <si>
    <t>GS</t>
  </si>
  <si>
    <t>SJM</t>
  </si>
  <si>
    <t>Svalbard and Jan Mayen</t>
  </si>
  <si>
    <t>SJ</t>
  </si>
  <si>
    <t>Switzerland</t>
  </si>
  <si>
    <t>Syrian Arab Republic</t>
  </si>
  <si>
    <t>TWN</t>
  </si>
  <si>
    <t>Taiwan (Province of China)</t>
  </si>
  <si>
    <t>TW</t>
  </si>
  <si>
    <t>Tanzania, United Republic of</t>
  </si>
  <si>
    <t>TKL</t>
  </si>
  <si>
    <t>Tokelau</t>
  </si>
  <si>
    <t>TK</t>
  </si>
  <si>
    <t>Turkey</t>
  </si>
  <si>
    <t>TCA</t>
  </si>
  <si>
    <t>Turks and Caicos Islands (the)</t>
  </si>
  <si>
    <t>TC</t>
  </si>
  <si>
    <t>UMI</t>
  </si>
  <si>
    <t>United States Minor Outlying Islands (the)</t>
  </si>
  <si>
    <t>UM</t>
  </si>
  <si>
    <t>VGB</t>
  </si>
  <si>
    <t>Virgin Islands (British)</t>
  </si>
  <si>
    <t>VG</t>
  </si>
  <si>
    <t>VIR</t>
  </si>
  <si>
    <t>Virgin Islands (U.S.)</t>
  </si>
  <si>
    <t>VI</t>
  </si>
  <si>
    <t>WLF</t>
  </si>
  <si>
    <t>Wallis and Futuna</t>
  </si>
  <si>
    <t>WF</t>
  </si>
  <si>
    <t>ESH</t>
  </si>
  <si>
    <t>Western Sahara</t>
  </si>
  <si>
    <t>EH</t>
  </si>
  <si>
    <t>ALA</t>
  </si>
  <si>
    <t>Åland Islands</t>
  </si>
  <si>
    <t>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</si>
</sst>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-mmm-yy"/>
    <numFmt numFmtId="165" formatCode="d-mmm-yy"/>
    <numFmt numFmtId="166" formatCode="dd-mmmm-yy"/>
    <numFmt numFmtId="167" formatCode="d-mmmm-yy"/>
    <numFmt numFmtId="168" formatCode="m/d/yyyy"/>
    <numFmt numFmtId="169" formatCode="000"/>
  </numFmts>
  <fonts count="11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&quot;Aptos Narrow&quot;"/>
    </font>
    <font>
      <b/>
      <sz val="12.0"/>
      <color rgb="FF000000"/>
      <name val="&quot;HelveticaNeueLT Std&quot;"/>
    </font>
    <font>
      <sz val="12.0"/>
      <color rgb="FF000000"/>
      <name val="&quot;HelveticaNeueLT Std&quot;"/>
    </font>
    <font>
      <color theme="1"/>
      <name val="Arial"/>
      <scheme val="minor"/>
    </font>
    <font>
      <sz val="8.0"/>
      <color theme="1"/>
      <name val="Verdana"/>
    </font>
    <font>
      <color theme="1"/>
      <name val="Arial"/>
    </font>
    <font>
      <sz val="11.0"/>
      <color rgb="FF000000"/>
      <name val="Calibri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right" readingOrder="0" vertical="bottom"/>
    </xf>
    <xf borderId="0" fillId="0" fontId="2" numFmtId="10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0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vertical="top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6" numFmtId="11" xfId="0" applyAlignment="1" applyFont="1" applyNumberFormat="1">
      <alignment readingOrder="0"/>
    </xf>
    <xf borderId="1" fillId="0" fontId="7" numFmtId="0" xfId="0" applyAlignment="1" applyBorder="1" applyFont="1">
      <alignment readingOrder="0" shrinkToFit="0" wrapText="0"/>
    </xf>
    <xf borderId="1" fillId="0" fontId="7" numFmtId="11" xfId="0" applyAlignment="1" applyBorder="1" applyFont="1" applyNumberFormat="1">
      <alignment readingOrder="0" shrinkToFit="0" wrapText="0"/>
    </xf>
    <xf borderId="0" fillId="0" fontId="6" numFmtId="0" xfId="0" applyFont="1"/>
    <xf borderId="0" fillId="0" fontId="6" numFmtId="10" xfId="0" applyAlignment="1" applyFont="1" applyNumberFormat="1">
      <alignment readingOrder="0"/>
    </xf>
    <xf borderId="0" fillId="0" fontId="6" numFmtId="0" xfId="0" applyFont="1"/>
    <xf borderId="0" fillId="0" fontId="6" numFmtId="10" xfId="0" applyFont="1" applyNumberFormat="1"/>
    <xf borderId="0" fillId="0" fontId="6" numFmtId="164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right" vertical="bottom"/>
    </xf>
    <xf borderId="0" fillId="0" fontId="6" numFmtId="168" xfId="0" applyAlignment="1" applyFont="1" applyNumberForma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6" numFmtId="169" xfId="0" applyAlignment="1" applyFont="1" applyNumberFormat="1">
      <alignment readingOrder="0"/>
    </xf>
    <xf borderId="0" fillId="0" fontId="6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16.88"/>
    <col customWidth="1" min="3" max="3" width="48.5"/>
    <col customWidth="1" min="4" max="4" width="10.88"/>
    <col customWidth="1" min="5" max="5" width="26.0"/>
    <col customWidth="1" min="6" max="6" width="20.88"/>
    <col customWidth="1" min="7" max="7" width="23.88"/>
    <col customWidth="1" min="8" max="8" width="15.63"/>
    <col customWidth="1" min="9" max="9" width="25.38"/>
    <col customWidth="1" min="10" max="10" width="5.25"/>
    <col customWidth="1" min="11" max="11" width="13.0"/>
    <col customWidth="1" min="14" max="14" width="7.5"/>
    <col customWidth="1" min="15" max="15" width="19.38"/>
    <col customWidth="1" min="16" max="16" width="12.5"/>
    <col customWidth="1" min="17" max="17" width="13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3"/>
      <c r="I1" s="3"/>
      <c r="J1" s="3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>
        <v>4.0</v>
      </c>
      <c r="B2" s="7" t="s">
        <v>7</v>
      </c>
      <c r="C2" s="2" t="s">
        <v>8</v>
      </c>
      <c r="D2" s="2" t="s">
        <v>9</v>
      </c>
      <c r="E2" s="3">
        <v>58.9</v>
      </c>
      <c r="F2" s="3">
        <v>95.2</v>
      </c>
      <c r="G2" s="8">
        <f>VLOOKUP(B2, Sheet18!$B:$E, 4, FALSE)</f>
        <v>86.7</v>
      </c>
      <c r="H2" s="8"/>
      <c r="I2" s="3"/>
      <c r="J2" s="8"/>
      <c r="K2" s="9"/>
      <c r="L2" s="6"/>
      <c r="M2" s="6"/>
      <c r="N2" s="8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>
        <v>8.0</v>
      </c>
      <c r="B3" s="7" t="s">
        <v>10</v>
      </c>
      <c r="C3" s="2" t="s">
        <v>11</v>
      </c>
      <c r="D3" s="2" t="s">
        <v>12</v>
      </c>
      <c r="E3" s="3">
        <v>11.9</v>
      </c>
      <c r="F3" s="3">
        <v>32.1</v>
      </c>
      <c r="G3" s="8">
        <f>VLOOKUP(B3, Sheet18!$B:$E, 4, FALSE)</f>
        <v>87.9</v>
      </c>
      <c r="H3" s="3"/>
      <c r="I3" s="3"/>
      <c r="J3" s="3"/>
      <c r="K3" s="9"/>
      <c r="L3" s="6"/>
      <c r="M3" s="6"/>
      <c r="N3" s="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>
        <v>12.0</v>
      </c>
      <c r="B4" s="7" t="s">
        <v>13</v>
      </c>
      <c r="C4" s="2" t="s">
        <v>14</v>
      </c>
      <c r="D4" s="2" t="s">
        <v>15</v>
      </c>
      <c r="E4" s="3">
        <v>82.8</v>
      </c>
      <c r="F4" s="3">
        <v>96.0</v>
      </c>
      <c r="G4" s="8">
        <f>VLOOKUP(B4, Sheet18!$B:$E, 4, FALSE)</f>
        <v>74.8</v>
      </c>
      <c r="H4" s="8"/>
      <c r="I4" s="3"/>
      <c r="J4" s="8"/>
      <c r="K4" s="9"/>
      <c r="L4" s="6"/>
      <c r="M4" s="6"/>
      <c r="N4" s="8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>
        <v>20.0</v>
      </c>
      <c r="B5" s="7" t="s">
        <v>16</v>
      </c>
      <c r="C5" s="2" t="s">
        <v>17</v>
      </c>
      <c r="D5" s="2" t="s">
        <v>18</v>
      </c>
      <c r="E5" s="3">
        <v>4.6</v>
      </c>
      <c r="F5" s="3">
        <v>8.1</v>
      </c>
      <c r="G5" s="8">
        <f>VLOOKUP(B5, Sheet18!$B:$E, 4, FALSE)</f>
        <v>89.9</v>
      </c>
      <c r="H5" s="8"/>
      <c r="I5" s="3"/>
      <c r="J5" s="8"/>
      <c r="K5" s="9"/>
      <c r="L5" s="6"/>
      <c r="M5" s="6"/>
      <c r="N5" s="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>
        <v>24.0</v>
      </c>
      <c r="B6" s="7" t="s">
        <v>19</v>
      </c>
      <c r="C6" s="10" t="s">
        <v>20</v>
      </c>
      <c r="D6" s="10" t="s">
        <v>21</v>
      </c>
      <c r="E6" s="11">
        <v>90.1</v>
      </c>
      <c r="F6" s="3">
        <v>96.1</v>
      </c>
      <c r="G6" s="8">
        <f>VLOOKUP(B6, Sheet18!$B:$E, 4, FALSE)</f>
        <v>78.2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>
        <v>28.0</v>
      </c>
      <c r="B7" s="7" t="s">
        <v>22</v>
      </c>
      <c r="C7" s="2" t="s">
        <v>23</v>
      </c>
      <c r="D7" s="2" t="s">
        <v>24</v>
      </c>
      <c r="E7" s="3">
        <v>34.7</v>
      </c>
      <c r="F7" s="3">
        <v>40.0</v>
      </c>
      <c r="G7" s="8">
        <f>VLOOKUP(B7, Sheet18!$B:$E, 4, FALSE)</f>
        <v>75.3</v>
      </c>
      <c r="H7" s="8"/>
      <c r="I7" s="3"/>
      <c r="J7" s="9"/>
      <c r="K7" s="9"/>
      <c r="L7" s="6"/>
      <c r="M7" s="6"/>
      <c r="N7" s="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>
        <v>32.0</v>
      </c>
      <c r="B8" s="7" t="s">
        <v>25</v>
      </c>
      <c r="C8" s="10" t="s">
        <v>26</v>
      </c>
      <c r="D8" s="10" t="s">
        <v>27</v>
      </c>
      <c r="E8" s="11">
        <v>38.6</v>
      </c>
      <c r="F8" s="3">
        <v>80.9</v>
      </c>
      <c r="G8" s="8">
        <f>VLOOKUP(B8, Sheet18!$B:$E, 4, FALSE)</f>
        <v>48.3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>
        <v>51.0</v>
      </c>
      <c r="B9" s="7" t="s">
        <v>28</v>
      </c>
      <c r="C9" s="2" t="s">
        <v>29</v>
      </c>
      <c r="D9" s="10" t="s">
        <v>30</v>
      </c>
      <c r="E9" s="3">
        <v>45.6</v>
      </c>
      <c r="F9" s="3">
        <v>74.7</v>
      </c>
      <c r="G9" s="8">
        <f>VLOOKUP(B9, Sheet18!$B:$E, 4, FALSE)</f>
        <v>87.3</v>
      </c>
      <c r="H9" s="8"/>
      <c r="I9" s="3"/>
      <c r="J9" s="9"/>
      <c r="K9" s="9"/>
      <c r="L9" s="6"/>
      <c r="M9" s="6"/>
      <c r="N9" s="8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>
        <v>36.0</v>
      </c>
      <c r="B10" s="7" t="s">
        <v>31</v>
      </c>
      <c r="C10" s="2" t="s">
        <v>32</v>
      </c>
      <c r="D10" s="2" t="s">
        <v>33</v>
      </c>
      <c r="E10" s="3">
        <v>55.7</v>
      </c>
      <c r="F10" s="3">
        <v>91.6</v>
      </c>
      <c r="G10" s="8">
        <f>VLOOKUP(B10, Sheet18!$B:$E, 4, FALSE)</f>
        <v>68.6</v>
      </c>
      <c r="H10" s="8"/>
      <c r="I10" s="3"/>
      <c r="J10" s="9"/>
      <c r="K10" s="9"/>
      <c r="L10" s="6"/>
      <c r="M10" s="6"/>
      <c r="N10" s="8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>
        <v>40.0</v>
      </c>
      <c r="B11" s="7" t="s">
        <v>34</v>
      </c>
      <c r="C11" s="2" t="s">
        <v>35</v>
      </c>
      <c r="D11" s="2" t="s">
        <v>36</v>
      </c>
      <c r="E11" s="3">
        <v>4.9</v>
      </c>
      <c r="F11" s="3">
        <v>18.2</v>
      </c>
      <c r="G11" s="8">
        <f>VLOOKUP(B11, Sheet18!$B:$E, 4, FALSE)</f>
        <v>88.5</v>
      </c>
      <c r="H11" s="8"/>
      <c r="I11" s="3"/>
      <c r="J11" s="9"/>
      <c r="K11" s="9"/>
      <c r="L11" s="6"/>
      <c r="M11" s="6"/>
      <c r="N11" s="8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>
        <v>31.0</v>
      </c>
      <c r="B12" s="7" t="s">
        <v>37</v>
      </c>
      <c r="C12" s="2" t="s">
        <v>38</v>
      </c>
      <c r="D12" s="2" t="s">
        <v>39</v>
      </c>
      <c r="E12" s="3">
        <v>89.5</v>
      </c>
      <c r="F12" s="3">
        <v>95.7</v>
      </c>
      <c r="G12" s="8">
        <f>VLOOKUP(B12, Sheet18!$B:$E, 4, FALSE)</f>
        <v>88.7</v>
      </c>
      <c r="H12" s="8"/>
      <c r="I12" s="3"/>
      <c r="J12" s="9"/>
      <c r="K12" s="9"/>
      <c r="L12" s="6"/>
      <c r="M12" s="6"/>
      <c r="N12" s="8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>
        <v>44.0</v>
      </c>
      <c r="B13" s="7" t="s">
        <v>40</v>
      </c>
      <c r="C13" s="2" t="s">
        <v>41</v>
      </c>
      <c r="D13" s="2" t="s">
        <v>42</v>
      </c>
      <c r="E13" s="3">
        <v>50.3</v>
      </c>
      <c r="F13" s="3">
        <v>53.7</v>
      </c>
      <c r="G13" s="8">
        <f>VLOOKUP(B13, Sheet18!$B:$E, 4, FALSE)</f>
        <v>85</v>
      </c>
      <c r="H13" s="8"/>
      <c r="I13" s="3"/>
      <c r="J13" s="9"/>
      <c r="K13" s="9"/>
      <c r="L13" s="6"/>
      <c r="M13" s="6"/>
      <c r="N13" s="8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>
        <v>48.0</v>
      </c>
      <c r="B14" s="7" t="s">
        <v>43</v>
      </c>
      <c r="C14" s="2" t="s">
        <v>44</v>
      </c>
      <c r="D14" s="2" t="s">
        <v>45</v>
      </c>
      <c r="E14" s="3">
        <v>63.7</v>
      </c>
      <c r="F14" s="3">
        <v>73.3</v>
      </c>
      <c r="G14" s="8">
        <f>VLOOKUP(B14, Sheet18!$B:$E, 4, FALSE)</f>
        <v>53.1</v>
      </c>
      <c r="H14" s="8"/>
      <c r="I14" s="3"/>
      <c r="J14" s="8"/>
      <c r="K14" s="6"/>
      <c r="L14" s="6"/>
      <c r="M14" s="6"/>
      <c r="N14" s="8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>
        <v>50.0</v>
      </c>
      <c r="B15" s="7" t="s">
        <v>46</v>
      </c>
      <c r="C15" s="2" t="s">
        <v>47</v>
      </c>
      <c r="D15" s="2" t="s">
        <v>48</v>
      </c>
      <c r="E15" s="3">
        <v>2.0</v>
      </c>
      <c r="F15" s="3">
        <v>4.6</v>
      </c>
      <c r="G15" s="8">
        <f>VLOOKUP(B15, Sheet18!$B:$E, 4, FALSE)</f>
        <v>57.1</v>
      </c>
      <c r="H15" s="8"/>
      <c r="I15" s="3"/>
      <c r="J15" s="12"/>
      <c r="K15" s="6"/>
      <c r="L15" s="6"/>
      <c r="M15" s="6"/>
      <c r="N15" s="8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>
        <v>52.0</v>
      </c>
      <c r="B16" s="7" t="s">
        <v>49</v>
      </c>
      <c r="C16" s="2" t="s">
        <v>50</v>
      </c>
      <c r="D16" s="2" t="s">
        <v>51</v>
      </c>
      <c r="E16" s="3">
        <v>29.4</v>
      </c>
      <c r="F16" s="3">
        <v>51.7</v>
      </c>
      <c r="G16" s="8">
        <f>VLOOKUP(B16, Sheet18!$B:$E, 4, FALSE)</f>
        <v>75.2</v>
      </c>
      <c r="H16" s="8"/>
      <c r="I16" s="3"/>
      <c r="J16" s="12"/>
      <c r="K16" s="6"/>
      <c r="L16" s="6"/>
      <c r="M16" s="6"/>
      <c r="N16" s="8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>
        <v>112.0</v>
      </c>
      <c r="B17" s="7" t="s">
        <v>52</v>
      </c>
      <c r="C17" s="2" t="s">
        <v>53</v>
      </c>
      <c r="D17" s="2" t="s">
        <v>54</v>
      </c>
      <c r="E17" s="3">
        <v>13.7</v>
      </c>
      <c r="F17" s="3">
        <v>37.4</v>
      </c>
      <c r="G17" s="8">
        <f>VLOOKUP(B17, Sheet18!$B:$E, 4, FALSE)</f>
        <v>88.3</v>
      </c>
      <c r="H17" s="3"/>
      <c r="I17" s="3"/>
      <c r="J17" s="12"/>
      <c r="K17" s="6"/>
      <c r="L17" s="6"/>
      <c r="M17" s="6"/>
      <c r="N17" s="8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">
        <v>56.0</v>
      </c>
      <c r="B18" s="7" t="s">
        <v>55</v>
      </c>
      <c r="C18" s="2" t="s">
        <v>56</v>
      </c>
      <c r="D18" s="2" t="s">
        <v>57</v>
      </c>
      <c r="E18" s="3">
        <v>15.9</v>
      </c>
      <c r="F18" s="3">
        <v>34.4</v>
      </c>
      <c r="G18" s="8">
        <f>VLOOKUP(B18, Sheet18!$B:$E, 4, FALSE)</f>
        <v>79.3</v>
      </c>
      <c r="H18" s="8"/>
      <c r="I18" s="3"/>
      <c r="J18" s="12"/>
      <c r="K18" s="6"/>
      <c r="L18" s="6"/>
      <c r="M18" s="6"/>
      <c r="N18" s="8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>
        <v>84.0</v>
      </c>
      <c r="B19" s="7" t="s">
        <v>58</v>
      </c>
      <c r="C19" s="10" t="s">
        <v>59</v>
      </c>
      <c r="D19" s="10" t="s">
        <v>60</v>
      </c>
      <c r="E19" s="11">
        <v>59.4</v>
      </c>
      <c r="F19" s="3">
        <v>89.3</v>
      </c>
      <c r="G19" s="8">
        <f>VLOOKUP(B19, Sheet18!$B:$E, 4, FALSE)</f>
        <v>64.4</v>
      </c>
      <c r="H19" s="6"/>
      <c r="I19" s="6"/>
      <c r="J19" s="13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">
        <v>204.0</v>
      </c>
      <c r="B20" s="7" t="s">
        <v>61</v>
      </c>
      <c r="C20" s="10" t="s">
        <v>62</v>
      </c>
      <c r="D20" s="10" t="s">
        <v>63</v>
      </c>
      <c r="E20" s="11">
        <v>71.5</v>
      </c>
      <c r="F20" s="3">
        <v>92.7</v>
      </c>
      <c r="G20" s="8">
        <f>VLOOKUP(B20, Sheet18!$B:$E, 4, FALSE)</f>
        <v>70.3</v>
      </c>
      <c r="H20" s="6"/>
      <c r="I20" s="6"/>
      <c r="J20" s="13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">
        <v>64.0</v>
      </c>
      <c r="B21" s="7" t="s">
        <v>64</v>
      </c>
      <c r="C21" s="10" t="s">
        <v>65</v>
      </c>
      <c r="D21" s="10" t="s">
        <v>66</v>
      </c>
      <c r="E21" s="11">
        <v>44.6</v>
      </c>
      <c r="F21" s="3">
        <v>55.9</v>
      </c>
      <c r="G21" s="8">
        <f>VLOOKUP(B21, Sheet18!$B:$E, 4, FALSE)</f>
        <v>99.7</v>
      </c>
      <c r="H21" s="6"/>
      <c r="I21" s="6"/>
      <c r="J21" s="13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">
        <v>68.0</v>
      </c>
      <c r="B22" s="7" t="s">
        <v>67</v>
      </c>
      <c r="C22" s="10" t="s">
        <v>68</v>
      </c>
      <c r="D22" s="10" t="s">
        <v>69</v>
      </c>
      <c r="E22" s="11">
        <v>54.6</v>
      </c>
      <c r="F22" s="3">
        <v>94.7</v>
      </c>
      <c r="G22" s="8">
        <f>VLOOKUP(B22, Sheet18!$B:$E, 4, FALSE)</f>
        <v>67.2</v>
      </c>
      <c r="H22" s="6"/>
      <c r="I22" s="6"/>
      <c r="J22" s="13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">
        <v>70.0</v>
      </c>
      <c r="B23" s="7" t="s">
        <v>70</v>
      </c>
      <c r="C23" s="10" t="s">
        <v>71</v>
      </c>
      <c r="D23" s="10" t="s">
        <v>72</v>
      </c>
      <c r="E23" s="11">
        <v>12.8</v>
      </c>
      <c r="F23" s="3">
        <v>27.3</v>
      </c>
      <c r="G23" s="8">
        <f>VLOOKUP(B23, Sheet18!$B:$E, 4, FALSE)</f>
        <v>94.1</v>
      </c>
      <c r="H23" s="6"/>
      <c r="I23" s="6"/>
      <c r="J23" s="13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">
        <v>72.0</v>
      </c>
      <c r="B24" s="7" t="s">
        <v>73</v>
      </c>
      <c r="C24" s="10" t="s">
        <v>74</v>
      </c>
      <c r="D24" s="10" t="s">
        <v>75</v>
      </c>
      <c r="E24" s="11">
        <v>89.9</v>
      </c>
      <c r="F24" s="3">
        <v>94.0</v>
      </c>
      <c r="G24" s="8">
        <f>VLOOKUP(B24, Sheet18!$B:$E, 4, FALSE)</f>
        <v>70.5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">
        <v>76.0</v>
      </c>
      <c r="B25" s="7" t="s">
        <v>76</v>
      </c>
      <c r="C25" s="10" t="s">
        <v>77</v>
      </c>
      <c r="D25" s="10" t="s">
        <v>78</v>
      </c>
      <c r="E25" s="11">
        <v>36.0</v>
      </c>
      <c r="F25" s="3">
        <v>75.9</v>
      </c>
      <c r="G25" s="8">
        <f>VLOOKUP(B25, Sheet18!$B:$E, 4, FALSE)</f>
        <v>59.2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">
        <v>96.0</v>
      </c>
      <c r="B26" s="7" t="s">
        <v>79</v>
      </c>
      <c r="C26" s="10" t="s">
        <v>80</v>
      </c>
      <c r="D26" s="10" t="s">
        <v>81</v>
      </c>
      <c r="E26" s="11">
        <v>74.8</v>
      </c>
      <c r="F26" s="3">
        <v>79.0</v>
      </c>
      <c r="G26" s="8">
        <f>VLOOKUP(B26, Sheet18!$B:$E, 4, FALSE)</f>
        <v>90.5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">
        <v>100.0</v>
      </c>
      <c r="B27" s="7" t="s">
        <v>82</v>
      </c>
      <c r="C27" s="10" t="s">
        <v>83</v>
      </c>
      <c r="D27" s="10" t="s">
        <v>84</v>
      </c>
      <c r="E27" s="11">
        <v>18.2</v>
      </c>
      <c r="F27" s="3">
        <v>43.4</v>
      </c>
      <c r="G27" s="8">
        <f>VLOOKUP(B27, Sheet18!$B:$E, 4, FALSE)</f>
        <v>71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">
        <v>854.0</v>
      </c>
      <c r="B28" s="7" t="s">
        <v>85</v>
      </c>
      <c r="C28" s="10" t="s">
        <v>86</v>
      </c>
      <c r="D28" s="10" t="s">
        <v>87</v>
      </c>
      <c r="E28" s="11">
        <v>87.7</v>
      </c>
      <c r="F28" s="3">
        <v>96.0</v>
      </c>
      <c r="G28" s="8">
        <f>VLOOKUP(B28, Sheet18!$B:$E, 4, FALSE)</f>
        <v>86.3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">
        <v>108.0</v>
      </c>
      <c r="B29" s="7" t="s">
        <v>88</v>
      </c>
      <c r="C29" s="10" t="s">
        <v>89</v>
      </c>
      <c r="D29" s="10" t="s">
        <v>90</v>
      </c>
      <c r="E29" s="11">
        <v>71.3</v>
      </c>
      <c r="F29" s="3">
        <v>89.5</v>
      </c>
      <c r="G29" s="8">
        <f>VLOOKUP(B29, Sheet18!$B:$E, 4, FALSE)</f>
        <v>65.9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">
        <v>132.0</v>
      </c>
      <c r="B30" s="7" t="s">
        <v>91</v>
      </c>
      <c r="C30" s="10" t="s">
        <v>92</v>
      </c>
      <c r="D30" s="10" t="s">
        <v>93</v>
      </c>
      <c r="E30" s="11">
        <v>68.5</v>
      </c>
      <c r="F30" s="3">
        <v>74.4</v>
      </c>
      <c r="G30" s="8">
        <f>VLOOKUP(B30, Sheet18!$B:$E, 4, FALSE)</f>
        <v>89.1</v>
      </c>
      <c r="H30" s="6"/>
      <c r="I30" s="3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">
        <v>116.0</v>
      </c>
      <c r="B31" s="7" t="s">
        <v>94</v>
      </c>
      <c r="C31" s="10" t="s">
        <v>95</v>
      </c>
      <c r="D31" s="10" t="s">
        <v>96</v>
      </c>
      <c r="E31" s="11">
        <v>10.4</v>
      </c>
      <c r="F31" s="3">
        <v>20.2</v>
      </c>
      <c r="G31" s="8">
        <f>VLOOKUP(B31, Sheet18!$B:$E, 4, FALSE)</f>
        <v>88.7</v>
      </c>
      <c r="H31" s="6"/>
      <c r="I31" s="3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">
        <v>120.0</v>
      </c>
      <c r="B32" s="7" t="s">
        <v>97</v>
      </c>
      <c r="C32" s="10" t="s">
        <v>98</v>
      </c>
      <c r="D32" s="10" t="s">
        <v>99</v>
      </c>
      <c r="E32" s="11">
        <v>63.1</v>
      </c>
      <c r="F32" s="3">
        <v>93.7</v>
      </c>
      <c r="G32" s="8">
        <f>VLOOKUP(B32, Sheet18!$B:$E, 4, FALSE)</f>
        <v>65.1</v>
      </c>
      <c r="H32" s="6"/>
      <c r="I32" s="3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">
        <v>124.0</v>
      </c>
      <c r="B33" s="7" t="s">
        <v>100</v>
      </c>
      <c r="C33" s="10" t="s">
        <v>101</v>
      </c>
      <c r="D33" s="10" t="s">
        <v>102</v>
      </c>
      <c r="E33" s="11">
        <v>26.5</v>
      </c>
      <c r="F33" s="3">
        <v>55.8</v>
      </c>
      <c r="G33" s="8">
        <f>VLOOKUP(B33, Sheet18!$B:$E, 4, FALSE)</f>
        <v>83</v>
      </c>
      <c r="H33" s="6"/>
      <c r="I33" s="3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">
        <v>140.0</v>
      </c>
      <c r="B34" s="7" t="s">
        <v>103</v>
      </c>
      <c r="C34" s="10" t="s">
        <v>104</v>
      </c>
      <c r="D34" s="10" t="s">
        <v>105</v>
      </c>
      <c r="E34" s="11">
        <v>79.6</v>
      </c>
      <c r="F34" s="3">
        <v>89.9</v>
      </c>
      <c r="G34" s="8">
        <f>VLOOKUP(B34, Sheet18!$B:$E, 4, FALSE)</f>
        <v>86.7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">
        <v>148.0</v>
      </c>
      <c r="B35" s="7" t="s">
        <v>106</v>
      </c>
      <c r="C35" s="10" t="s">
        <v>107</v>
      </c>
      <c r="D35" s="10" t="s">
        <v>108</v>
      </c>
      <c r="E35" s="11">
        <v>96.1</v>
      </c>
      <c r="F35" s="3">
        <v>99.8</v>
      </c>
      <c r="G35" s="8">
        <f>VLOOKUP(B35, Sheet18!$B:$E, 4, FALSE)</f>
        <v>89.7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">
        <v>152.0</v>
      </c>
      <c r="B36" s="7" t="s">
        <v>109</v>
      </c>
      <c r="C36" s="10" t="s">
        <v>110</v>
      </c>
      <c r="D36" s="10" t="s">
        <v>111</v>
      </c>
      <c r="E36" s="11">
        <v>55.4</v>
      </c>
      <c r="F36" s="3">
        <v>82.8</v>
      </c>
      <c r="G36" s="8">
        <f>VLOOKUP(B36, Sheet18!$B:$E, 4, FALSE)</f>
        <v>66.1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">
        <v>156.0</v>
      </c>
      <c r="B37" s="7" t="s">
        <v>112</v>
      </c>
      <c r="C37" s="10" t="s">
        <v>113</v>
      </c>
      <c r="D37" s="10" t="s">
        <v>114</v>
      </c>
      <c r="E37" s="11">
        <v>2.6</v>
      </c>
      <c r="F37" s="3">
        <v>6.3</v>
      </c>
      <c r="G37" s="8">
        <f>VLOOKUP(B37, Sheet18!$B:$E, 4, FALSE)</f>
        <v>35.8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">
        <v>170.0</v>
      </c>
      <c r="B38" s="7" t="s">
        <v>115</v>
      </c>
      <c r="C38" s="10" t="s">
        <v>116</v>
      </c>
      <c r="D38" s="10" t="s">
        <v>117</v>
      </c>
      <c r="E38" s="11">
        <v>49.9</v>
      </c>
      <c r="F38" s="3">
        <v>80.1</v>
      </c>
      <c r="G38" s="8">
        <f>VLOOKUP(B38, Sheet18!$B:$E, 4, FALSE)</f>
        <v>58.6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">
        <v>174.0</v>
      </c>
      <c r="B39" s="7" t="s">
        <v>118</v>
      </c>
      <c r="C39" s="10" t="s">
        <v>119</v>
      </c>
      <c r="D39" s="10" t="s">
        <v>120</v>
      </c>
      <c r="E39" s="11">
        <v>48.7</v>
      </c>
      <c r="F39" s="3">
        <v>50.6</v>
      </c>
      <c r="G39" s="8">
        <f>VLOOKUP(B39, Sheet18!$B:$E, 4, FALSE)</f>
        <v>75.8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">
        <v>178.0</v>
      </c>
      <c r="B40" s="7" t="s">
        <v>121</v>
      </c>
      <c r="C40" s="10" t="s">
        <v>122</v>
      </c>
      <c r="D40" s="10" t="s">
        <v>123</v>
      </c>
      <c r="E40" s="11">
        <v>87.5</v>
      </c>
      <c r="F40" s="3">
        <v>96.5</v>
      </c>
      <c r="G40" s="8">
        <f>VLOOKUP(B40, Sheet18!$B:$E, 4, FALSE)</f>
        <v>71.4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">
        <v>180.0</v>
      </c>
      <c r="B41" s="7" t="s">
        <v>124</v>
      </c>
      <c r="C41" s="10" t="s">
        <v>125</v>
      </c>
      <c r="D41" s="10" t="s">
        <v>126</v>
      </c>
      <c r="E41" s="11">
        <v>82.7</v>
      </c>
      <c r="F41" s="3">
        <v>90.7</v>
      </c>
      <c r="G41" s="8">
        <f>VLOOKUP(B41, Sheet18!$B:$E, 4, FALSE)</f>
        <v>76.8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">
        <v>188.0</v>
      </c>
      <c r="B42" s="7" t="s">
        <v>127</v>
      </c>
      <c r="C42" s="10" t="s">
        <v>128</v>
      </c>
      <c r="D42" s="10" t="s">
        <v>129</v>
      </c>
      <c r="E42" s="11">
        <v>21.3</v>
      </c>
      <c r="F42" s="3">
        <v>34.7</v>
      </c>
      <c r="G42" s="8">
        <f>VLOOKUP(B42, Sheet18!$B:$E, 4, FALSE)</f>
        <v>83.5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">
        <v>384.0</v>
      </c>
      <c r="B43" s="7" t="s">
        <v>130</v>
      </c>
      <c r="C43" s="10" t="s">
        <v>131</v>
      </c>
      <c r="D43" s="10" t="s">
        <v>132</v>
      </c>
      <c r="E43" s="11">
        <v>55.6</v>
      </c>
      <c r="F43" s="3">
        <v>91.9</v>
      </c>
      <c r="G43" s="8">
        <f>VLOOKUP(B43, Sheet18!$B:$E, 4, FALSE)</f>
        <v>56.5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">
        <v>191.0</v>
      </c>
      <c r="B44" s="7" t="s">
        <v>133</v>
      </c>
      <c r="C44" s="10" t="s">
        <v>134</v>
      </c>
      <c r="D44" s="10" t="s">
        <v>135</v>
      </c>
      <c r="E44" s="11">
        <v>13.3</v>
      </c>
      <c r="F44" s="3">
        <v>38.6</v>
      </c>
      <c r="G44" s="8">
        <f>VLOOKUP(B44, Sheet18!$B:$E, 4, FALSE)</f>
        <v>92.7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">
        <v>192.0</v>
      </c>
      <c r="B45" s="7" t="s">
        <v>136</v>
      </c>
      <c r="C45" s="10" t="s">
        <v>137</v>
      </c>
      <c r="D45" s="10" t="s">
        <v>138</v>
      </c>
      <c r="E45" s="11">
        <v>49.2</v>
      </c>
      <c r="F45" s="3">
        <v>86.3</v>
      </c>
      <c r="G45" s="8">
        <f>VLOOKUP(B45, Sheet18!$B:$E, 4, FALSE)</f>
        <v>82.7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">
        <v>196.0</v>
      </c>
      <c r="B46" s="7" t="s">
        <v>139</v>
      </c>
      <c r="C46" s="10" t="s">
        <v>140</v>
      </c>
      <c r="D46" s="10" t="s">
        <v>141</v>
      </c>
      <c r="E46" s="11">
        <v>39.9</v>
      </c>
      <c r="F46" s="3">
        <v>48.5</v>
      </c>
      <c r="G46" s="8">
        <f>VLOOKUP(B46, Sheet18!$B:$E, 4, FALSE)</f>
        <v>72.1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">
        <v>203.0</v>
      </c>
      <c r="B47" s="7" t="s">
        <v>142</v>
      </c>
      <c r="C47" s="10" t="s">
        <v>143</v>
      </c>
      <c r="D47" s="10" t="s">
        <v>144</v>
      </c>
      <c r="E47" s="11">
        <v>2.6</v>
      </c>
      <c r="F47" s="3">
        <v>10.3</v>
      </c>
      <c r="G47" s="8">
        <f>VLOOKUP(B47, Sheet18!$B:$E, 4, FALSE)</f>
        <v>92.2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">
        <v>208.0</v>
      </c>
      <c r="B48" s="7" t="s">
        <v>145</v>
      </c>
      <c r="C48" s="10" t="s">
        <v>146</v>
      </c>
      <c r="D48" s="10" t="s">
        <v>147</v>
      </c>
      <c r="E48" s="11">
        <v>8.8</v>
      </c>
      <c r="F48" s="3">
        <v>30.1</v>
      </c>
      <c r="G48" s="8">
        <f>VLOOKUP(B48, Sheet18!$B:$E, 4, FALSE)</f>
        <v>80.8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">
        <v>262.0</v>
      </c>
      <c r="B49" s="7" t="s">
        <v>148</v>
      </c>
      <c r="C49" s="10" t="s">
        <v>149</v>
      </c>
      <c r="D49" s="10" t="s">
        <v>150</v>
      </c>
      <c r="E49" s="11">
        <v>29.6</v>
      </c>
      <c r="F49" s="3">
        <v>47.6</v>
      </c>
      <c r="G49" s="8">
        <f>VLOOKUP(B49, Sheet18!$B:$E, 4, FALSE)</f>
        <v>93.5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">
        <v>212.0</v>
      </c>
      <c r="B50" s="7" t="s">
        <v>151</v>
      </c>
      <c r="C50" s="10" t="s">
        <v>152</v>
      </c>
      <c r="D50" s="10" t="s">
        <v>153</v>
      </c>
      <c r="E50" s="11">
        <v>15.9</v>
      </c>
      <c r="F50" s="3">
        <v>37.5</v>
      </c>
      <c r="G50" s="8">
        <f>VLOOKUP(B50, Sheet18!$B:$E, 4, FALSE)</f>
        <v>75.7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">
        <v>214.0</v>
      </c>
      <c r="B51" s="7" t="s">
        <v>154</v>
      </c>
      <c r="C51" s="10" t="s">
        <v>155</v>
      </c>
      <c r="D51" s="10" t="s">
        <v>156</v>
      </c>
      <c r="E51" s="11">
        <v>23.0</v>
      </c>
      <c r="F51" s="3">
        <v>38.8</v>
      </c>
      <c r="G51" s="8">
        <f>VLOOKUP(B51, Sheet18!$B:$E, 4, FALSE)</f>
        <v>71.1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">
        <v>218.0</v>
      </c>
      <c r="B52" s="7" t="s">
        <v>157</v>
      </c>
      <c r="C52" s="10" t="s">
        <v>158</v>
      </c>
      <c r="D52" s="10" t="s">
        <v>159</v>
      </c>
      <c r="E52" s="11">
        <v>66.8</v>
      </c>
      <c r="F52" s="3">
        <v>95.0</v>
      </c>
      <c r="G52" s="8">
        <f>VLOOKUP(B52, Sheet18!$B:$E, 4, FALSE)</f>
        <v>58.5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">
        <v>818.0</v>
      </c>
      <c r="B53" s="7" t="s">
        <v>160</v>
      </c>
      <c r="C53" s="10" t="s">
        <v>161</v>
      </c>
      <c r="D53" s="10" t="s">
        <v>162</v>
      </c>
      <c r="E53" s="11">
        <v>23.8</v>
      </c>
      <c r="F53" s="3">
        <v>52.8</v>
      </c>
      <c r="G53" s="8">
        <f>VLOOKUP(B53, Sheet18!$B:$E, 4, FALSE)</f>
        <v>49.8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">
        <v>222.0</v>
      </c>
      <c r="B54" s="7" t="s">
        <v>163</v>
      </c>
      <c r="C54" s="10" t="s">
        <v>164</v>
      </c>
      <c r="D54" s="10" t="s">
        <v>165</v>
      </c>
      <c r="E54" s="11">
        <v>10.5</v>
      </c>
      <c r="F54" s="3">
        <v>27.7</v>
      </c>
      <c r="G54" s="8">
        <f>VLOOKUP(B54, Sheet18!$B:$E, 4, FALSE)</f>
        <v>83.9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">
        <v>226.0</v>
      </c>
      <c r="B55" s="7" t="s">
        <v>166</v>
      </c>
      <c r="C55" s="10" t="s">
        <v>167</v>
      </c>
      <c r="D55" s="10" t="s">
        <v>168</v>
      </c>
      <c r="E55" s="11">
        <v>92.8</v>
      </c>
      <c r="F55" s="3">
        <v>95.3</v>
      </c>
      <c r="G55" s="8">
        <f>VLOOKUP(B55, Sheet18!$B:$E, 4, FALSE)</f>
        <v>71.6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">
        <v>232.0</v>
      </c>
      <c r="B56" s="7" t="s">
        <v>169</v>
      </c>
      <c r="C56" s="10" t="s">
        <v>170</v>
      </c>
      <c r="D56" s="10" t="s">
        <v>171</v>
      </c>
      <c r="E56" s="11">
        <v>56.9</v>
      </c>
      <c r="F56" s="3">
        <v>93.1</v>
      </c>
      <c r="G56" s="8">
        <f>VLOOKUP(B56, Sheet18!$B:$E, 4, FALSE)</f>
        <v>88.6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">
        <v>233.0</v>
      </c>
      <c r="B57" s="7" t="s">
        <v>172</v>
      </c>
      <c r="C57" s="10" t="s">
        <v>173</v>
      </c>
      <c r="D57" s="10" t="s">
        <v>174</v>
      </c>
      <c r="E57" s="11">
        <v>13.4</v>
      </c>
      <c r="F57" s="3">
        <v>35.8</v>
      </c>
      <c r="G57" s="8">
        <f>VLOOKUP(B57, Sheet18!$B:$E, 4, FALSE)</f>
        <v>79.4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">
        <v>748.0</v>
      </c>
      <c r="B58" s="7" t="s">
        <v>175</v>
      </c>
      <c r="C58" s="10" t="s">
        <v>176</v>
      </c>
      <c r="D58" s="10" t="s">
        <v>177</v>
      </c>
      <c r="E58" s="11">
        <v>27.8</v>
      </c>
      <c r="F58" s="3">
        <v>40.9</v>
      </c>
      <c r="G58" s="8">
        <f>VLOOKUP(B58, Sheet18!$B:$E, 4, FALSE)</f>
        <v>84.3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">
        <v>231.0</v>
      </c>
      <c r="B59" s="7" t="s">
        <v>178</v>
      </c>
      <c r="C59" s="10" t="s">
        <v>179</v>
      </c>
      <c r="D59" s="10" t="s">
        <v>180</v>
      </c>
      <c r="E59" s="11">
        <v>59.8</v>
      </c>
      <c r="F59" s="3">
        <v>84.5</v>
      </c>
      <c r="G59" s="8">
        <f>VLOOKUP(B59, Sheet18!$B:$E, 4, FALSE)</f>
        <v>42.1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">
        <v>242.0</v>
      </c>
      <c r="B60" s="7" t="s">
        <v>181</v>
      </c>
      <c r="C60" s="10" t="s">
        <v>182</v>
      </c>
      <c r="D60" s="10" t="s">
        <v>183</v>
      </c>
      <c r="E60" s="11">
        <v>47.6</v>
      </c>
      <c r="F60" s="3">
        <v>83.5</v>
      </c>
      <c r="G60" s="8">
        <f>VLOOKUP(B60, Sheet18!$B:$E, 4, FALSE)</f>
        <v>80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">
        <v>246.0</v>
      </c>
      <c r="B61" s="7" t="s">
        <v>184</v>
      </c>
      <c r="C61" s="10" t="s">
        <v>185</v>
      </c>
      <c r="D61" s="10" t="s">
        <v>186</v>
      </c>
      <c r="E61" s="11">
        <v>17.1</v>
      </c>
      <c r="F61" s="3">
        <v>29.1</v>
      </c>
      <c r="G61" s="8">
        <f>VLOOKUP(B61, Sheet18!$B:$E, 4, FALSE)</f>
        <v>77.5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">
        <v>250.0</v>
      </c>
      <c r="B62" s="7" t="s">
        <v>187</v>
      </c>
      <c r="C62" s="10" t="s">
        <v>188</v>
      </c>
      <c r="D62" s="10" t="s">
        <v>189</v>
      </c>
      <c r="E62" s="11">
        <v>6.5</v>
      </c>
      <c r="F62" s="3">
        <v>22.6</v>
      </c>
      <c r="G62" s="8">
        <f>VLOOKUP(B62, Sheet18!$B:$E, 4, FALSE)</f>
        <v>76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">
        <v>266.0</v>
      </c>
      <c r="B63" s="7" t="s">
        <v>190</v>
      </c>
      <c r="C63" s="10" t="s">
        <v>191</v>
      </c>
      <c r="D63" s="10" t="s">
        <v>192</v>
      </c>
      <c r="E63" s="11">
        <v>82.6</v>
      </c>
      <c r="F63" s="3">
        <v>87.6</v>
      </c>
      <c r="G63" s="8">
        <f>VLOOKUP(B63, Sheet18!$B:$E, 4, FALSE)</f>
        <v>66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">
        <v>270.0</v>
      </c>
      <c r="B64" s="7" t="s">
        <v>193</v>
      </c>
      <c r="C64" s="10" t="s">
        <v>194</v>
      </c>
      <c r="D64" s="10" t="s">
        <v>195</v>
      </c>
      <c r="E64" s="11">
        <v>52.8</v>
      </c>
      <c r="F64" s="3">
        <v>88.9</v>
      </c>
      <c r="G64" s="8">
        <f>VLOOKUP(B64, Sheet18!$B:$E, 4, FALSE)</f>
        <v>66.5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">
        <v>268.0</v>
      </c>
      <c r="B65" s="7" t="s">
        <v>196</v>
      </c>
      <c r="C65" s="10" t="s">
        <v>197</v>
      </c>
      <c r="D65" s="10" t="s">
        <v>198</v>
      </c>
      <c r="E65" s="11">
        <v>20.8</v>
      </c>
      <c r="F65" s="3">
        <v>41.0</v>
      </c>
      <c r="G65" s="8">
        <f>VLOOKUP(B65, Sheet18!$B:$E, 4, FALSE)</f>
        <v>64.7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">
        <v>276.0</v>
      </c>
      <c r="B66" s="7" t="s">
        <v>199</v>
      </c>
      <c r="C66" s="10" t="s">
        <v>200</v>
      </c>
      <c r="D66" s="10" t="s">
        <v>201</v>
      </c>
      <c r="E66" s="11">
        <v>2.8</v>
      </c>
      <c r="F66" s="3">
        <v>13.2</v>
      </c>
      <c r="G66" s="8">
        <f>VLOOKUP(B66, Sheet18!$B:$E, 4, FALSE)</f>
        <v>82.7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">
        <v>288.0</v>
      </c>
      <c r="B67" s="7" t="s">
        <v>202</v>
      </c>
      <c r="C67" s="10" t="s">
        <v>203</v>
      </c>
      <c r="D67" s="10" t="s">
        <v>204</v>
      </c>
      <c r="E67" s="11">
        <v>80.7</v>
      </c>
      <c r="F67" s="3">
        <v>94.8</v>
      </c>
      <c r="G67" s="8">
        <f>VLOOKUP(B67, Sheet18!$B:$E, 4, FALSE)</f>
        <v>49.3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">
        <v>300.0</v>
      </c>
      <c r="B68" s="7" t="s">
        <v>205</v>
      </c>
      <c r="C68" s="10" t="s">
        <v>206</v>
      </c>
      <c r="D68" s="10" t="s">
        <v>207</v>
      </c>
      <c r="E68" s="11">
        <v>35.6</v>
      </c>
      <c r="F68" s="3">
        <v>63.4</v>
      </c>
      <c r="G68" s="8">
        <f>VLOOKUP(B68, Sheet18!$B:$E, 4, FALSE)</f>
        <v>63.9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">
        <v>308.0</v>
      </c>
      <c r="B69" s="7" t="s">
        <v>208</v>
      </c>
      <c r="C69" s="10" t="s">
        <v>209</v>
      </c>
      <c r="D69" s="10" t="s">
        <v>210</v>
      </c>
      <c r="E69" s="11">
        <v>31.2</v>
      </c>
      <c r="F69" s="3">
        <v>54.3</v>
      </c>
      <c r="G69" s="8">
        <f>VLOOKUP(B69, Sheet18!$B:$E, 4, FALSE)</f>
        <v>79.6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">
        <v>320.0</v>
      </c>
      <c r="B70" s="7" t="s">
        <v>211</v>
      </c>
      <c r="C70" s="10" t="s">
        <v>212</v>
      </c>
      <c r="D70" s="10" t="s">
        <v>213</v>
      </c>
      <c r="E70" s="11">
        <v>24.8</v>
      </c>
      <c r="F70" s="3">
        <v>56.6</v>
      </c>
      <c r="G70" s="8">
        <f>VLOOKUP(B70, Sheet18!$B:$E, 4, FALSE)</f>
        <v>75.9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">
        <v>324.0</v>
      </c>
      <c r="B71" s="7" t="s">
        <v>214</v>
      </c>
      <c r="C71" s="10" t="s">
        <v>215</v>
      </c>
      <c r="D71" s="10" t="s">
        <v>216</v>
      </c>
      <c r="E71" s="11">
        <v>88.7</v>
      </c>
      <c r="F71" s="3">
        <v>97.5</v>
      </c>
      <c r="G71" s="8">
        <f>VLOOKUP(B71, Sheet18!$B:$E, 4, FALSE)</f>
        <v>80.5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">
        <v>624.0</v>
      </c>
      <c r="B72" s="7" t="s">
        <v>217</v>
      </c>
      <c r="C72" s="10" t="s">
        <v>218</v>
      </c>
      <c r="D72" s="10" t="s">
        <v>219</v>
      </c>
      <c r="E72" s="11">
        <v>92.2</v>
      </c>
      <c r="F72" s="3">
        <v>97.9</v>
      </c>
      <c r="G72" s="8">
        <f>VLOOKUP(B72, Sheet18!$B:$E, 4, FALSE)</f>
        <v>82.6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">
        <v>328.0</v>
      </c>
      <c r="B73" s="7" t="s">
        <v>220</v>
      </c>
      <c r="C73" s="10" t="s">
        <v>221</v>
      </c>
      <c r="D73" s="10" t="s">
        <v>222</v>
      </c>
      <c r="E73" s="11">
        <v>93.3</v>
      </c>
      <c r="F73" s="3">
        <v>95.6</v>
      </c>
      <c r="G73" s="8">
        <f>VLOOKUP(B73, Sheet18!$B:$E, 4, FALSE)</f>
        <v>71.5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">
        <v>332.0</v>
      </c>
      <c r="B74" s="7" t="s">
        <v>223</v>
      </c>
      <c r="C74" s="10" t="s">
        <v>224</v>
      </c>
      <c r="D74" s="10" t="s">
        <v>225</v>
      </c>
      <c r="E74" s="11">
        <v>3.2</v>
      </c>
      <c r="F74" s="3">
        <v>6.7</v>
      </c>
      <c r="G74" s="8">
        <f>VLOOKUP(B74, Sheet18!$B:$E, 4, FALSE)</f>
        <v>57.8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">
        <v>336.0</v>
      </c>
      <c r="B75" s="14" t="s">
        <v>226</v>
      </c>
      <c r="C75" s="10" t="s">
        <v>227</v>
      </c>
      <c r="D75" s="10" t="s">
        <v>228</v>
      </c>
      <c r="E75" s="6"/>
      <c r="F75" s="3"/>
      <c r="G75" s="8" t="str">
        <f>VLOOKUP(B75, Sheet18!$B:$E, 4, FALSE)</f>
        <v/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">
        <v>340.0</v>
      </c>
      <c r="B76" s="7" t="s">
        <v>229</v>
      </c>
      <c r="C76" s="10" t="s">
        <v>230</v>
      </c>
      <c r="D76" s="10" t="s">
        <v>231</v>
      </c>
      <c r="E76" s="11">
        <v>30.0</v>
      </c>
      <c r="F76" s="3">
        <v>53.5</v>
      </c>
      <c r="G76" s="8">
        <f>VLOOKUP(B76, Sheet18!$B:$E, 4, FALSE)</f>
        <v>83.6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">
        <v>348.0</v>
      </c>
      <c r="B77" s="7" t="s">
        <v>232</v>
      </c>
      <c r="C77" s="10" t="s">
        <v>233</v>
      </c>
      <c r="D77" s="10" t="s">
        <v>234</v>
      </c>
      <c r="E77" s="11">
        <v>3.4</v>
      </c>
      <c r="F77" s="3">
        <v>14.1</v>
      </c>
      <c r="G77" s="8">
        <f>VLOOKUP(B77, Sheet18!$B:$E, 4, FALSE)</f>
        <v>89.2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">
        <v>352.0</v>
      </c>
      <c r="B78" s="7" t="s">
        <v>235</v>
      </c>
      <c r="C78" s="10" t="s">
        <v>236</v>
      </c>
      <c r="D78" s="10" t="s">
        <v>237</v>
      </c>
      <c r="E78" s="11">
        <v>75.8</v>
      </c>
      <c r="F78" s="3">
        <v>84.5</v>
      </c>
      <c r="G78" s="8">
        <f>VLOOKUP(B78, Sheet18!$B:$E, 4, FALSE)</f>
        <v>90.7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">
        <v>356.0</v>
      </c>
      <c r="B79" s="7" t="s">
        <v>238</v>
      </c>
      <c r="C79" s="10" t="s">
        <v>239</v>
      </c>
      <c r="D79" s="10" t="s">
        <v>240</v>
      </c>
      <c r="E79" s="11">
        <v>26.1</v>
      </c>
      <c r="F79" s="3">
        <v>40.5</v>
      </c>
      <c r="G79" s="8">
        <f>VLOOKUP(B79, Sheet18!$B:$E, 4, FALSE)</f>
        <v>35.9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">
        <v>360.0</v>
      </c>
      <c r="B80" s="7" t="s">
        <v>241</v>
      </c>
      <c r="C80" s="10" t="s">
        <v>242</v>
      </c>
      <c r="D80" s="10" t="s">
        <v>243</v>
      </c>
      <c r="E80" s="11">
        <v>26.9</v>
      </c>
      <c r="F80" s="3">
        <v>55.5</v>
      </c>
      <c r="G80" s="8">
        <f>VLOOKUP(B80, Sheet18!$B:$E, 4, FALSE)</f>
        <v>60.9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">
        <v>364.0</v>
      </c>
      <c r="B81" s="7" t="s">
        <v>244</v>
      </c>
      <c r="C81" s="10" t="s">
        <v>245</v>
      </c>
      <c r="D81" s="10" t="s">
        <v>246</v>
      </c>
      <c r="E81" s="11">
        <v>22.3</v>
      </c>
      <c r="F81" s="3">
        <v>51.4</v>
      </c>
      <c r="G81" s="8">
        <f>VLOOKUP(B81, Sheet18!$B:$E, 4, FALSE)</f>
        <v>68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">
        <v>368.0</v>
      </c>
      <c r="B82" s="7" t="s">
        <v>247</v>
      </c>
      <c r="C82" s="10" t="s">
        <v>248</v>
      </c>
      <c r="D82" s="10" t="s">
        <v>249</v>
      </c>
      <c r="E82" s="11">
        <v>97.5</v>
      </c>
      <c r="F82" s="3">
        <v>99.5</v>
      </c>
      <c r="G82" s="8">
        <f>VLOOKUP(B82, Sheet18!$B:$E, 4, FALSE)</f>
        <v>73.8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">
        <v>372.0</v>
      </c>
      <c r="B83" s="7" t="s">
        <v>250</v>
      </c>
      <c r="C83" s="10" t="s">
        <v>251</v>
      </c>
      <c r="D83" s="10" t="s">
        <v>252</v>
      </c>
      <c r="E83" s="11">
        <v>3.2</v>
      </c>
      <c r="F83" s="3">
        <v>9.7</v>
      </c>
      <c r="G83" s="8">
        <f>VLOOKUP(B83, Sheet18!$B:$E, 4, FALSE)</f>
        <v>81.8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">
        <v>376.0</v>
      </c>
      <c r="B84" s="7" t="s">
        <v>253</v>
      </c>
      <c r="C84" s="10" t="s">
        <v>254</v>
      </c>
      <c r="D84" s="10" t="s">
        <v>255</v>
      </c>
      <c r="E84" s="11">
        <v>15.6</v>
      </c>
      <c r="F84" s="3">
        <v>21.0</v>
      </c>
      <c r="G84" s="8">
        <f>VLOOKUP(B84, Sheet18!$B:$E, 4, FALSE)</f>
        <v>72.3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">
        <v>380.0</v>
      </c>
      <c r="B85" s="7" t="s">
        <v>256</v>
      </c>
      <c r="C85" s="10" t="s">
        <v>257</v>
      </c>
      <c r="D85" s="10" t="s">
        <v>258</v>
      </c>
      <c r="E85" s="11">
        <v>6.1</v>
      </c>
      <c r="F85" s="3">
        <v>18.3</v>
      </c>
      <c r="G85" s="8">
        <f>VLOOKUP(B85, Sheet18!$B:$E, 4, FALSE)</f>
        <v>72.6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">
        <v>388.0</v>
      </c>
      <c r="B86" s="7" t="s">
        <v>259</v>
      </c>
      <c r="C86" s="10" t="s">
        <v>260</v>
      </c>
      <c r="D86" s="10" t="s">
        <v>261</v>
      </c>
      <c r="E86" s="11">
        <v>69.2</v>
      </c>
      <c r="F86" s="3">
        <v>94.8</v>
      </c>
      <c r="G86" s="8">
        <f>VLOOKUP(B86, Sheet18!$B:$E, 4, FALSE)</f>
        <v>73.4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">
        <v>392.0</v>
      </c>
      <c r="B87" s="7" t="s">
        <v>262</v>
      </c>
      <c r="C87" s="10" t="s">
        <v>263</v>
      </c>
      <c r="D87" s="10" t="s">
        <v>264</v>
      </c>
      <c r="E87" s="11">
        <v>5.2</v>
      </c>
      <c r="F87" s="3">
        <v>9.8</v>
      </c>
      <c r="G87" s="8">
        <f>VLOOKUP(B87, Sheet18!$B:$E, 4, FALSE)</f>
        <v>54.6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>
        <v>400.0</v>
      </c>
      <c r="B88" s="7" t="s">
        <v>265</v>
      </c>
      <c r="C88" s="10" t="s">
        <v>266</v>
      </c>
      <c r="D88" s="10" t="s">
        <v>267</v>
      </c>
      <c r="E88" s="11">
        <v>10.8</v>
      </c>
      <c r="F88" s="3">
        <v>25.8</v>
      </c>
      <c r="G88" s="8">
        <f>VLOOKUP(B88, Sheet18!$B:$E, 4, FALSE)</f>
        <v>79.1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">
        <v>398.0</v>
      </c>
      <c r="B89" s="7" t="s">
        <v>268</v>
      </c>
      <c r="C89" s="10" t="s">
        <v>269</v>
      </c>
      <c r="D89" s="10" t="s">
        <v>270</v>
      </c>
      <c r="E89" s="11">
        <v>66.4</v>
      </c>
      <c r="F89" s="3">
        <v>84.5</v>
      </c>
      <c r="G89" s="8">
        <f>VLOOKUP(B89, Sheet18!$B:$E, 4, FALSE)</f>
        <v>74.2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">
        <v>404.0</v>
      </c>
      <c r="B90" s="7" t="s">
        <v>271</v>
      </c>
      <c r="C90" s="10" t="s">
        <v>272</v>
      </c>
      <c r="D90" s="10" t="s">
        <v>273</v>
      </c>
      <c r="E90" s="11">
        <v>34.4</v>
      </c>
      <c r="F90" s="3">
        <v>69.9</v>
      </c>
      <c r="G90" s="8">
        <f>VLOOKUP(B90, Sheet18!$B:$E, 4, FALSE)</f>
        <v>48.3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">
        <v>296.0</v>
      </c>
      <c r="B91" s="7" t="s">
        <v>274</v>
      </c>
      <c r="C91" s="10" t="s">
        <v>275</v>
      </c>
      <c r="D91" s="10" t="s">
        <v>276</v>
      </c>
      <c r="E91" s="11">
        <v>88.2</v>
      </c>
      <c r="F91" s="3">
        <v>88.8</v>
      </c>
      <c r="G91" s="8">
        <f>VLOOKUP(B91, Sheet18!$B:$E, 4, FALSE)</f>
        <v>89.7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">
        <v>408.0</v>
      </c>
      <c r="B92" s="7" t="s">
        <v>277</v>
      </c>
      <c r="C92" s="10" t="s">
        <v>278</v>
      </c>
      <c r="D92" s="10" t="s">
        <v>279</v>
      </c>
      <c r="E92" s="11">
        <v>19.0</v>
      </c>
      <c r="F92" s="3">
        <v>23.6</v>
      </c>
      <c r="G92" s="8">
        <f>VLOOKUP(B92, Sheet18!$B:$E, 4, FALSE)</f>
        <v>94.2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">
        <v>410.0</v>
      </c>
      <c r="B93" s="7" t="s">
        <v>280</v>
      </c>
      <c r="C93" s="10" t="s">
        <v>281</v>
      </c>
      <c r="D93" s="10" t="s">
        <v>282</v>
      </c>
      <c r="E93" s="11">
        <v>9.6</v>
      </c>
      <c r="F93" s="3">
        <v>13.8</v>
      </c>
      <c r="G93" s="8">
        <f>VLOOKUP(B93, Sheet18!$B:$E, 4, FALSE)</f>
        <v>50.3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">
        <v>414.0</v>
      </c>
      <c r="B94" s="7" t="s">
        <v>283</v>
      </c>
      <c r="C94" s="10" t="s">
        <v>284</v>
      </c>
      <c r="D94" s="10" t="s">
        <v>285</v>
      </c>
      <c r="E94" s="11">
        <v>76.2</v>
      </c>
      <c r="F94" s="3">
        <v>82.1</v>
      </c>
      <c r="G94" s="8">
        <f>VLOOKUP(B94, Sheet18!$B:$E, 4, FALSE)</f>
        <v>50.2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">
        <v>417.0</v>
      </c>
      <c r="B95" s="7" t="s">
        <v>286</v>
      </c>
      <c r="C95" s="10" t="s">
        <v>287</v>
      </c>
      <c r="D95" s="10" t="s">
        <v>288</v>
      </c>
      <c r="E95" s="11">
        <v>54.5</v>
      </c>
      <c r="F95" s="3">
        <v>76.6</v>
      </c>
      <c r="G95" s="8">
        <f>VLOOKUP(B95, Sheet18!$B:$E, 4, FALSE)</f>
        <v>55.1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">
        <v>418.0</v>
      </c>
      <c r="B96" s="7" t="s">
        <v>289</v>
      </c>
      <c r="C96" s="10" t="s">
        <v>290</v>
      </c>
      <c r="D96" s="10" t="s">
        <v>291</v>
      </c>
      <c r="E96" s="11">
        <v>33.5</v>
      </c>
      <c r="F96" s="3">
        <v>69.8</v>
      </c>
      <c r="G96" s="8">
        <f>VLOOKUP(B96, Sheet18!$B:$E, 4, FALSE)</f>
        <v>94.2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">
        <v>428.0</v>
      </c>
      <c r="B97" s="7" t="s">
        <v>292</v>
      </c>
      <c r="C97" s="10" t="s">
        <v>293</v>
      </c>
      <c r="D97" s="10" t="s">
        <v>294</v>
      </c>
      <c r="E97" s="11">
        <v>18.2</v>
      </c>
      <c r="F97" s="3">
        <v>45.9</v>
      </c>
      <c r="G97" s="8">
        <f>VLOOKUP(B97, Sheet18!$B:$E, 4, FALSE)</f>
        <v>76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">
        <v>422.0</v>
      </c>
      <c r="B98" s="7" t="s">
        <v>295</v>
      </c>
      <c r="C98" s="10" t="s">
        <v>296</v>
      </c>
      <c r="D98" s="10" t="s">
        <v>297</v>
      </c>
      <c r="E98" s="11">
        <v>19.9</v>
      </c>
      <c r="F98" s="3">
        <v>49.2</v>
      </c>
      <c r="G98" s="8">
        <f>VLOOKUP(B98, Sheet18!$B:$E, 4, FALSE)</f>
        <v>71.3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">
        <v>426.0</v>
      </c>
      <c r="B99" s="7" t="s">
        <v>298</v>
      </c>
      <c r="C99" s="10" t="s">
        <v>299</v>
      </c>
      <c r="D99" s="10" t="s">
        <v>300</v>
      </c>
      <c r="E99" s="11">
        <v>45.3</v>
      </c>
      <c r="F99" s="3">
        <v>51.4</v>
      </c>
      <c r="G99" s="8">
        <f>VLOOKUP(B99, Sheet18!$B:$E, 4, FALSE)</f>
        <v>86.9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">
        <v>430.0</v>
      </c>
      <c r="B100" s="7" t="s">
        <v>301</v>
      </c>
      <c r="C100" s="10" t="s">
        <v>302</v>
      </c>
      <c r="D100" s="10" t="s">
        <v>303</v>
      </c>
      <c r="E100" s="11">
        <v>60.6</v>
      </c>
      <c r="F100" s="3">
        <v>79.7</v>
      </c>
      <c r="G100" s="8">
        <f>VLOOKUP(B100, Sheet18!$B:$E, 4, FALSE)</f>
        <v>68.9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">
        <v>434.0</v>
      </c>
      <c r="B101" s="7" t="s">
        <v>304</v>
      </c>
      <c r="C101" s="10" t="s">
        <v>305</v>
      </c>
      <c r="D101" s="10" t="s">
        <v>306</v>
      </c>
      <c r="E101" s="11">
        <v>92.0</v>
      </c>
      <c r="F101" s="3">
        <v>98.6</v>
      </c>
      <c r="G101" s="8">
        <f>VLOOKUP(B101, Sheet18!$B:$E, 4, FALSE)</f>
        <v>80.6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">
        <v>440.0</v>
      </c>
      <c r="B102" s="7" t="s">
        <v>307</v>
      </c>
      <c r="C102" s="10" t="s">
        <v>308</v>
      </c>
      <c r="D102" s="10" t="s">
        <v>309</v>
      </c>
      <c r="E102" s="11">
        <v>15.9</v>
      </c>
      <c r="F102" s="3">
        <v>38.5</v>
      </c>
      <c r="G102" s="8">
        <f>VLOOKUP(B102, Sheet18!$B:$E, 4, FALSE)</f>
        <v>75.6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">
        <v>442.0</v>
      </c>
      <c r="B103" s="7" t="s">
        <v>310</v>
      </c>
      <c r="C103" s="10" t="s">
        <v>311</v>
      </c>
      <c r="D103" s="10" t="s">
        <v>312</v>
      </c>
      <c r="E103" s="11">
        <v>6.0</v>
      </c>
      <c r="F103" s="3">
        <v>18.6</v>
      </c>
      <c r="G103" s="8">
        <f>VLOOKUP(B103, Sheet18!$B:$E, 4, FALSE)</f>
        <v>93.3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">
        <v>450.0</v>
      </c>
      <c r="B104" s="7" t="s">
        <v>313</v>
      </c>
      <c r="C104" s="10" t="s">
        <v>314</v>
      </c>
      <c r="D104" s="10" t="s">
        <v>315</v>
      </c>
      <c r="E104" s="11">
        <v>48.9</v>
      </c>
      <c r="F104" s="3">
        <v>73.4</v>
      </c>
      <c r="G104" s="8">
        <f>VLOOKUP(B104, Sheet18!$B:$E, 4, FALSE)</f>
        <v>52.4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">
        <v>454.0</v>
      </c>
      <c r="B105" s="7" t="s">
        <v>316</v>
      </c>
      <c r="C105" s="10" t="s">
        <v>317</v>
      </c>
      <c r="D105" s="10" t="s">
        <v>318</v>
      </c>
      <c r="E105" s="11">
        <v>60.7</v>
      </c>
      <c r="F105" s="3">
        <v>84.8</v>
      </c>
      <c r="G105" s="8">
        <f>VLOOKUP(B105, Sheet18!$B:$E, 4, FALSE)</f>
        <v>56.8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">
        <v>458.0</v>
      </c>
      <c r="B106" s="7" t="s">
        <v>319</v>
      </c>
      <c r="C106" s="10" t="s">
        <v>320</v>
      </c>
      <c r="D106" s="10" t="s">
        <v>321</v>
      </c>
      <c r="E106" s="11">
        <v>17.9</v>
      </c>
      <c r="F106" s="3">
        <v>31.7</v>
      </c>
      <c r="G106" s="8">
        <f>VLOOKUP(B106, Sheet18!$B:$E, 4, FALSE)</f>
        <v>55.1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">
        <v>462.0</v>
      </c>
      <c r="B107" s="7" t="s">
        <v>322</v>
      </c>
      <c r="C107" s="10" t="s">
        <v>323</v>
      </c>
      <c r="D107" s="10" t="s">
        <v>324</v>
      </c>
      <c r="E107" s="11">
        <v>65.9</v>
      </c>
      <c r="F107" s="3">
        <v>76.0</v>
      </c>
      <c r="G107" s="8">
        <f>VLOOKUP(B107, Sheet18!$B:$E, 4, FALSE)</f>
        <v>69.1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">
        <v>466.0</v>
      </c>
      <c r="B108" s="7" t="s">
        <v>325</v>
      </c>
      <c r="C108" s="10" t="s">
        <v>326</v>
      </c>
      <c r="D108" s="10" t="s">
        <v>327</v>
      </c>
      <c r="E108" s="11">
        <v>91.7</v>
      </c>
      <c r="F108" s="3">
        <v>95.8</v>
      </c>
      <c r="G108" s="8">
        <f>VLOOKUP(B108, Sheet18!$B:$E, 4, FALSE)</f>
        <v>81.7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">
        <v>470.0</v>
      </c>
      <c r="B109" s="7" t="s">
        <v>328</v>
      </c>
      <c r="C109" s="10" t="s">
        <v>329</v>
      </c>
      <c r="D109" s="10" t="s">
        <v>330</v>
      </c>
      <c r="E109" s="11">
        <v>25.4</v>
      </c>
      <c r="F109" s="3">
        <v>30.4</v>
      </c>
      <c r="G109" s="8">
        <f>VLOOKUP(B109, Sheet18!$B:$E, 4, FALSE)</f>
        <v>53.9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">
        <v>584.0</v>
      </c>
      <c r="B110" s="7" t="s">
        <v>331</v>
      </c>
      <c r="C110" s="10" t="s">
        <v>332</v>
      </c>
      <c r="D110" s="10" t="s">
        <v>333</v>
      </c>
      <c r="E110" s="11">
        <v>13.6</v>
      </c>
      <c r="F110" s="3">
        <v>13.8</v>
      </c>
      <c r="G110" s="8">
        <f>VLOOKUP(B110, Sheet18!$B:$E, 4, FALSE)</f>
        <v>53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">
        <v>478.0</v>
      </c>
      <c r="B111" s="7" t="s">
        <v>334</v>
      </c>
      <c r="C111" s="10" t="s">
        <v>335</v>
      </c>
      <c r="D111" s="10" t="s">
        <v>336</v>
      </c>
      <c r="E111" s="11">
        <v>87.8</v>
      </c>
      <c r="F111" s="3">
        <v>97.8</v>
      </c>
      <c r="G111" s="8">
        <f>VLOOKUP(B111, Sheet18!$B:$E, 4, FALSE)</f>
        <v>57.8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">
        <v>480.0</v>
      </c>
      <c r="B112" s="7" t="s">
        <v>337</v>
      </c>
      <c r="C112" s="10" t="s">
        <v>338</v>
      </c>
      <c r="D112" s="10" t="s">
        <v>339</v>
      </c>
      <c r="E112" s="11">
        <v>31.5</v>
      </c>
      <c r="F112" s="3">
        <v>48.1</v>
      </c>
      <c r="G112" s="8">
        <f>VLOOKUP(B112, Sheet18!$B:$E, 4, FALSE)</f>
        <v>68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">
        <v>484.0</v>
      </c>
      <c r="B113" s="7" t="s">
        <v>340</v>
      </c>
      <c r="C113" s="10" t="s">
        <v>341</v>
      </c>
      <c r="D113" s="10" t="s">
        <v>342</v>
      </c>
      <c r="E113" s="11">
        <v>8.5</v>
      </c>
      <c r="F113" s="3">
        <v>17.7</v>
      </c>
      <c r="G113" s="8">
        <f>VLOOKUP(B113, Sheet18!$B:$E, 4, FALSE)</f>
        <v>88.8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">
        <v>583.0</v>
      </c>
      <c r="B114" s="7" t="s">
        <v>343</v>
      </c>
      <c r="C114" s="10" t="s">
        <v>344</v>
      </c>
      <c r="D114" s="10" t="s">
        <v>345</v>
      </c>
      <c r="E114" s="11">
        <v>95.4</v>
      </c>
      <c r="F114" s="3">
        <v>97.9</v>
      </c>
      <c r="G114" s="8">
        <f>VLOOKUP(B114, Sheet18!$B:$E, 4, FALSE)</f>
        <v>87.6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">
        <v>498.0</v>
      </c>
      <c r="B115" s="7" t="s">
        <v>346</v>
      </c>
      <c r="C115" s="10" t="s">
        <v>347</v>
      </c>
      <c r="D115" s="10" t="s">
        <v>348</v>
      </c>
      <c r="E115" s="11">
        <v>24.4</v>
      </c>
      <c r="F115" s="3">
        <v>55.9</v>
      </c>
      <c r="G115" s="8">
        <f>VLOOKUP(B115, Sheet18!$B:$E, 4, FALSE)</f>
        <v>87.7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">
        <v>492.0</v>
      </c>
      <c r="B116" s="14" t="s">
        <v>349</v>
      </c>
      <c r="C116" s="10" t="s">
        <v>350</v>
      </c>
      <c r="D116" s="10" t="s">
        <v>351</v>
      </c>
      <c r="E116" s="6"/>
      <c r="F116" s="3"/>
      <c r="G116" s="8" t="str">
        <f>VLOOKUP(B116, Sheet18!$B:$E, 4, FALSE)</f>
        <v/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">
        <v>496.0</v>
      </c>
      <c r="B117" s="7" t="s">
        <v>352</v>
      </c>
      <c r="C117" s="10" t="s">
        <v>353</v>
      </c>
      <c r="D117" s="10" t="s">
        <v>354</v>
      </c>
      <c r="E117" s="11">
        <v>76.0</v>
      </c>
      <c r="F117" s="3">
        <v>98.8</v>
      </c>
      <c r="G117" s="8">
        <f>VLOOKUP(B117, Sheet18!$B:$E, 4, FALSE)</f>
        <v>98.6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">
        <v>499.0</v>
      </c>
      <c r="B118" s="7" t="s">
        <v>355</v>
      </c>
      <c r="C118" s="10" t="s">
        <v>356</v>
      </c>
      <c r="D118" s="10" t="s">
        <v>357</v>
      </c>
      <c r="E118" s="11">
        <v>45.5</v>
      </c>
      <c r="F118" s="3">
        <v>71.8</v>
      </c>
      <c r="G118" s="8">
        <f>VLOOKUP(B118, Sheet18!$B:$E, 4, FALSE)</f>
        <v>94.1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">
        <v>504.0</v>
      </c>
      <c r="B119" s="7" t="s">
        <v>358</v>
      </c>
      <c r="C119" s="10" t="s">
        <v>359</v>
      </c>
      <c r="D119" s="10" t="s">
        <v>360</v>
      </c>
      <c r="E119" s="11">
        <v>16.6</v>
      </c>
      <c r="F119" s="3">
        <v>26.3</v>
      </c>
      <c r="G119" s="8">
        <f>VLOOKUP(B119, Sheet18!$B:$E, 4, FALSE)</f>
        <v>70.1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">
        <v>508.0</v>
      </c>
      <c r="B120" s="7" t="s">
        <v>361</v>
      </c>
      <c r="C120" s="10" t="s">
        <v>362</v>
      </c>
      <c r="D120" s="10" t="s">
        <v>363</v>
      </c>
      <c r="E120" s="11">
        <v>49.7</v>
      </c>
      <c r="F120" s="3">
        <v>96.5</v>
      </c>
      <c r="G120" s="8">
        <f>VLOOKUP(B120, Sheet18!$B:$E, 4, FALSE)</f>
        <v>52.6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">
        <v>104.0</v>
      </c>
      <c r="B121" s="7" t="s">
        <v>364</v>
      </c>
      <c r="C121" s="10" t="s">
        <v>365</v>
      </c>
      <c r="D121" s="10" t="s">
        <v>366</v>
      </c>
      <c r="E121" s="11">
        <v>31.7</v>
      </c>
      <c r="F121" s="3">
        <v>55.8</v>
      </c>
      <c r="G121" s="8">
        <f>VLOOKUP(B121, Sheet18!$B:$E, 4, FALSE)</f>
        <v>90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">
        <v>516.0</v>
      </c>
      <c r="B122" s="7" t="s">
        <v>367</v>
      </c>
      <c r="C122" s="10" t="s">
        <v>368</v>
      </c>
      <c r="D122" s="10" t="s">
        <v>369</v>
      </c>
      <c r="E122" s="11">
        <v>45.9</v>
      </c>
      <c r="F122" s="3">
        <v>82.5</v>
      </c>
      <c r="G122" s="8">
        <f>VLOOKUP(B122, Sheet18!$B:$E, 4, FALSE)</f>
        <v>73.8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">
        <v>520.0</v>
      </c>
      <c r="B123" s="7" t="s">
        <v>370</v>
      </c>
      <c r="C123" s="10" t="s">
        <v>371</v>
      </c>
      <c r="D123" s="10" t="s">
        <v>372</v>
      </c>
      <c r="E123" s="11">
        <v>94.8</v>
      </c>
      <c r="F123" s="3">
        <v>94.9</v>
      </c>
      <c r="G123" s="8">
        <f>VLOOKUP(B123, Sheet18!$B:$E, 4, FALSE)</f>
        <v>92.5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">
        <v>524.0</v>
      </c>
      <c r="B124" s="7" t="s">
        <v>373</v>
      </c>
      <c r="C124" s="10" t="s">
        <v>374</v>
      </c>
      <c r="D124" s="10" t="s">
        <v>375</v>
      </c>
      <c r="E124" s="11">
        <v>29.3</v>
      </c>
      <c r="F124" s="3">
        <v>48.1</v>
      </c>
      <c r="G124" s="8">
        <f>VLOOKUP(B124, Sheet18!$B:$E, 4, FALSE)</f>
        <v>96.1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">
        <v>528.0</v>
      </c>
      <c r="B125" s="7" t="s">
        <v>376</v>
      </c>
      <c r="C125" s="10" t="s">
        <v>377</v>
      </c>
      <c r="D125" s="10" t="s">
        <v>378</v>
      </c>
      <c r="E125" s="11">
        <v>15.4</v>
      </c>
      <c r="F125" s="3">
        <v>37.8</v>
      </c>
      <c r="G125" s="8">
        <f>VLOOKUP(B125, Sheet18!$B:$E, 4, FALSE)</f>
        <v>83.9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">
        <v>554.0</v>
      </c>
      <c r="B126" s="7" t="s">
        <v>379</v>
      </c>
      <c r="C126" s="10" t="s">
        <v>380</v>
      </c>
      <c r="D126" s="10" t="s">
        <v>381</v>
      </c>
      <c r="E126" s="11">
        <v>32.9</v>
      </c>
      <c r="F126" s="3">
        <v>81.0</v>
      </c>
      <c r="G126" s="8">
        <f>VLOOKUP(B126, Sheet18!$B:$E, 4, FALSE)</f>
        <v>54.9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">
        <v>558.0</v>
      </c>
      <c r="B127" s="7" t="s">
        <v>382</v>
      </c>
      <c r="C127" s="10" t="s">
        <v>383</v>
      </c>
      <c r="D127" s="10" t="s">
        <v>384</v>
      </c>
      <c r="E127" s="11">
        <v>31.6</v>
      </c>
      <c r="F127" s="3">
        <v>57.9</v>
      </c>
      <c r="G127" s="8">
        <f>VLOOKUP(B127, Sheet18!$B:$E, 4, FALSE)</f>
        <v>79.7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">
        <v>562.0</v>
      </c>
      <c r="B128" s="7" t="s">
        <v>385</v>
      </c>
      <c r="C128" s="10" t="s">
        <v>386</v>
      </c>
      <c r="D128" s="10" t="s">
        <v>387</v>
      </c>
      <c r="E128" s="11">
        <v>73.9</v>
      </c>
      <c r="F128" s="3">
        <v>85.8</v>
      </c>
      <c r="G128" s="8">
        <f>VLOOKUP(B128, Sheet18!$B:$E, 4, FALSE)</f>
        <v>79.6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">
        <v>566.0</v>
      </c>
      <c r="B129" s="7" t="s">
        <v>388</v>
      </c>
      <c r="C129" s="10" t="s">
        <v>389</v>
      </c>
      <c r="D129" s="10" t="s">
        <v>390</v>
      </c>
      <c r="E129" s="11">
        <v>86.5</v>
      </c>
      <c r="F129" s="3">
        <v>96.7</v>
      </c>
      <c r="G129" s="8">
        <f>VLOOKUP(B129, Sheet18!$B:$E, 4, FALSE)</f>
        <v>56.9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">
        <v>807.0</v>
      </c>
      <c r="B130" s="7" t="s">
        <v>391</v>
      </c>
      <c r="C130" s="10" t="s">
        <v>392</v>
      </c>
      <c r="D130" s="10" t="s">
        <v>393</v>
      </c>
      <c r="E130" s="11">
        <v>7.0</v>
      </c>
      <c r="F130" s="3">
        <v>17.9</v>
      </c>
      <c r="G130" s="8">
        <f>VLOOKUP(B130, Sheet18!$B:$E, 4, FALSE)</f>
        <v>85.8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">
        <v>578.0</v>
      </c>
      <c r="B131" s="7" t="s">
        <v>394</v>
      </c>
      <c r="C131" s="10" t="s">
        <v>395</v>
      </c>
      <c r="D131" s="10" t="s">
        <v>396</v>
      </c>
      <c r="E131" s="11">
        <v>76.2</v>
      </c>
      <c r="F131" s="3">
        <v>88.2</v>
      </c>
      <c r="G131" s="8">
        <f>VLOOKUP(B131, Sheet18!$B:$E, 4, FALSE)</f>
        <v>94.4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">
        <v>512.0</v>
      </c>
      <c r="B132" s="7" t="s">
        <v>397</v>
      </c>
      <c r="C132" s="10" t="s">
        <v>398</v>
      </c>
      <c r="D132" s="10" t="s">
        <v>399</v>
      </c>
      <c r="E132" s="11">
        <v>54.1</v>
      </c>
      <c r="F132" s="3">
        <v>70.7</v>
      </c>
      <c r="G132" s="8">
        <f>VLOOKUP(B132, Sheet18!$B:$E, 4, FALSE)</f>
        <v>62.8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">
        <v>586.0</v>
      </c>
      <c r="B133" s="7" t="s">
        <v>400</v>
      </c>
      <c r="C133" s="10" t="s">
        <v>401</v>
      </c>
      <c r="D133" s="10" t="s">
        <v>402</v>
      </c>
      <c r="E133" s="11">
        <v>14.2</v>
      </c>
      <c r="F133" s="3">
        <v>28.6</v>
      </c>
      <c r="G133" s="8">
        <f>VLOOKUP(B133, Sheet18!$B:$E, 4, FALSE)</f>
        <v>40.9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">
        <v>585.0</v>
      </c>
      <c r="B134" s="7" t="s">
        <v>403</v>
      </c>
      <c r="C134" s="10" t="s">
        <v>404</v>
      </c>
      <c r="D134" s="10" t="s">
        <v>405</v>
      </c>
      <c r="E134" s="11">
        <v>27.9</v>
      </c>
      <c r="F134" s="3">
        <v>34.1</v>
      </c>
      <c r="G134" s="8">
        <f>VLOOKUP(B134, Sheet18!$B:$E, 4, FALSE)</f>
        <v>94.1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">
        <v>591.0</v>
      </c>
      <c r="B135" s="7" t="s">
        <v>406</v>
      </c>
      <c r="C135" s="10" t="s">
        <v>407</v>
      </c>
      <c r="D135" s="10" t="s">
        <v>408</v>
      </c>
      <c r="E135" s="11">
        <v>46.2</v>
      </c>
      <c r="F135" s="3">
        <v>67.8</v>
      </c>
      <c r="G135" s="8">
        <f>VLOOKUP(B135, Sheet18!$B:$E, 4, FALSE)</f>
        <v>55.5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">
        <v>598.0</v>
      </c>
      <c r="B136" s="7" t="s">
        <v>409</v>
      </c>
      <c r="C136" s="10" t="s">
        <v>410</v>
      </c>
      <c r="D136" s="10" t="s">
        <v>411</v>
      </c>
      <c r="E136" s="11">
        <v>62.9</v>
      </c>
      <c r="F136" s="3">
        <v>99.1</v>
      </c>
      <c r="G136" s="8">
        <f>VLOOKUP(B136, Sheet18!$B:$E, 4, FALSE)</f>
        <v>67.8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">
        <v>600.0</v>
      </c>
      <c r="B137" s="7" t="s">
        <v>412</v>
      </c>
      <c r="C137" s="10" t="s">
        <v>413</v>
      </c>
      <c r="D137" s="10" t="s">
        <v>414</v>
      </c>
      <c r="E137" s="11">
        <v>52.1</v>
      </c>
      <c r="F137" s="3">
        <v>84.8</v>
      </c>
      <c r="G137" s="8">
        <f>VLOOKUP(B137, Sheet18!$B:$E, 4, FALSE)</f>
        <v>84.8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">
        <v>604.0</v>
      </c>
      <c r="B138" s="7" t="s">
        <v>415</v>
      </c>
      <c r="C138" s="10" t="s">
        <v>416</v>
      </c>
      <c r="D138" s="10" t="s">
        <v>417</v>
      </c>
      <c r="E138" s="11">
        <v>49.8</v>
      </c>
      <c r="F138" s="3">
        <v>91.9</v>
      </c>
      <c r="G138" s="8">
        <f>VLOOKUP(B138, Sheet18!$B:$E, 4, FALSE)</f>
        <v>61.4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">
        <v>608.0</v>
      </c>
      <c r="B139" s="7" t="s">
        <v>418</v>
      </c>
      <c r="C139" s="10" t="s">
        <v>419</v>
      </c>
      <c r="D139" s="10" t="s">
        <v>420</v>
      </c>
      <c r="E139" s="11">
        <v>7.7</v>
      </c>
      <c r="F139" s="3">
        <v>21.2</v>
      </c>
      <c r="G139" s="8">
        <f>VLOOKUP(B139, Sheet18!$B:$E, 4, FALSE)</f>
        <v>60.5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">
        <v>616.0</v>
      </c>
      <c r="B140" s="7" t="s">
        <v>421</v>
      </c>
      <c r="C140" s="10" t="s">
        <v>422</v>
      </c>
      <c r="D140" s="10" t="s">
        <v>423</v>
      </c>
      <c r="E140" s="11">
        <v>4.2</v>
      </c>
      <c r="F140" s="3">
        <v>21.7</v>
      </c>
      <c r="G140" s="8">
        <f>VLOOKUP(B140, Sheet18!$B:$E, 4, FALSE)</f>
        <v>85.7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">
        <v>620.0</v>
      </c>
      <c r="B141" s="7" t="s">
        <v>424</v>
      </c>
      <c r="C141" s="10" t="s">
        <v>425</v>
      </c>
      <c r="D141" s="10" t="s">
        <v>426</v>
      </c>
      <c r="E141" s="11">
        <v>9.6</v>
      </c>
      <c r="F141" s="3">
        <v>25.8</v>
      </c>
      <c r="G141" s="8">
        <f>VLOOKUP(B141, Sheet18!$B:$E, 4, FALSE)</f>
        <v>80.1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">
        <v>634.0</v>
      </c>
      <c r="B142" s="7" t="s">
        <v>427</v>
      </c>
      <c r="C142" s="10" t="s">
        <v>428</v>
      </c>
      <c r="D142" s="10" t="s">
        <v>429</v>
      </c>
      <c r="E142" s="11">
        <v>73.7</v>
      </c>
      <c r="F142" s="3">
        <v>88.8</v>
      </c>
      <c r="G142" s="8">
        <f>VLOOKUP(B142, Sheet18!$B:$E, 4, FALSE)</f>
        <v>49.5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">
        <v>642.0</v>
      </c>
      <c r="B143" s="7" t="s">
        <v>430</v>
      </c>
      <c r="C143" s="10" t="s">
        <v>431</v>
      </c>
      <c r="D143" s="10" t="s">
        <v>432</v>
      </c>
      <c r="E143" s="11">
        <v>7.0</v>
      </c>
      <c r="F143" s="3">
        <v>22.4</v>
      </c>
      <c r="G143" s="8">
        <f>VLOOKUP(B143, Sheet18!$B:$E, 4, FALSE)</f>
        <v>69.4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">
        <v>643.0</v>
      </c>
      <c r="B144" s="7" t="s">
        <v>433</v>
      </c>
      <c r="C144" s="10" t="s">
        <v>434</v>
      </c>
      <c r="D144" s="10" t="s">
        <v>435</v>
      </c>
      <c r="E144" s="11">
        <v>50.0</v>
      </c>
      <c r="F144" s="3">
        <v>75.7</v>
      </c>
      <c r="G144" s="8">
        <f>VLOOKUP(B144, Sheet18!$B:$E, 4, FALSE)</f>
        <v>63.8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">
        <v>646.0</v>
      </c>
      <c r="B145" s="7" t="s">
        <v>436</v>
      </c>
      <c r="C145" s="10" t="s">
        <v>437</v>
      </c>
      <c r="D145" s="10" t="s">
        <v>438</v>
      </c>
      <c r="E145" s="11">
        <v>58.3</v>
      </c>
      <c r="F145" s="3">
        <v>89.1</v>
      </c>
      <c r="G145" s="8">
        <f>VLOOKUP(B145, Sheet18!$B:$E, 4, FALSE)</f>
        <v>67.3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">
        <v>659.0</v>
      </c>
      <c r="B146" s="7" t="s">
        <v>439</v>
      </c>
      <c r="C146" s="10" t="s">
        <v>440</v>
      </c>
      <c r="D146" s="10" t="s">
        <v>441</v>
      </c>
      <c r="E146" s="11">
        <v>15.8</v>
      </c>
      <c r="F146" s="3">
        <v>19.4</v>
      </c>
      <c r="G146" s="8">
        <f>VLOOKUP(B146, Sheet18!$B:$E, 4, FALSE)</f>
        <v>83.7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">
        <v>662.0</v>
      </c>
      <c r="B147" s="7" t="s">
        <v>442</v>
      </c>
      <c r="C147" s="10" t="s">
        <v>443</v>
      </c>
      <c r="D147" s="10" t="s">
        <v>444</v>
      </c>
      <c r="E147" s="11">
        <v>47.9</v>
      </c>
      <c r="F147" s="3">
        <v>67.2</v>
      </c>
      <c r="G147" s="8">
        <f>VLOOKUP(B147, Sheet18!$B:$E, 4, FALSE)</f>
        <v>72.4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">
        <v>670.0</v>
      </c>
      <c r="B148" s="7" t="s">
        <v>445</v>
      </c>
      <c r="C148" s="10" t="s">
        <v>446</v>
      </c>
      <c r="D148" s="10" t="s">
        <v>447</v>
      </c>
      <c r="E148" s="11">
        <v>28.7</v>
      </c>
      <c r="F148" s="3">
        <v>46.2</v>
      </c>
      <c r="G148" s="8">
        <f>VLOOKUP(B148, Sheet18!$B:$E, 4, FALSE)</f>
        <v>92.1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">
        <v>882.0</v>
      </c>
      <c r="B149" s="7" t="s">
        <v>448</v>
      </c>
      <c r="C149" s="10" t="s">
        <v>449</v>
      </c>
      <c r="D149" s="10" t="s">
        <v>450</v>
      </c>
      <c r="E149" s="11">
        <v>32.5</v>
      </c>
      <c r="F149" s="3">
        <v>47.2</v>
      </c>
      <c r="G149" s="8">
        <f>VLOOKUP(B149, Sheet18!$B:$E, 4, FALSE)</f>
        <v>77.9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">
        <v>674.0</v>
      </c>
      <c r="B150" s="14" t="s">
        <v>451</v>
      </c>
      <c r="C150" s="10" t="s">
        <v>452</v>
      </c>
      <c r="D150" s="10" t="s">
        <v>453</v>
      </c>
      <c r="E150" s="6"/>
      <c r="F150" s="3"/>
      <c r="G150" s="8" t="str">
        <f>VLOOKUP(B150, Sheet18!$B:$E, 4, FALSE)</f>
        <v/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">
        <v>678.0</v>
      </c>
      <c r="B151" s="7" t="s">
        <v>454</v>
      </c>
      <c r="C151" s="10" t="s">
        <v>455</v>
      </c>
      <c r="D151" s="10" t="s">
        <v>456</v>
      </c>
      <c r="E151" s="11">
        <v>64.1</v>
      </c>
      <c r="F151" s="3">
        <v>67.2</v>
      </c>
      <c r="G151" s="8">
        <f>VLOOKUP(B151, Sheet18!$B:$E, 4, FALSE)</f>
        <v>96.1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">
        <v>682.0</v>
      </c>
      <c r="B152" s="7" t="s">
        <v>457</v>
      </c>
      <c r="C152" s="10" t="s">
        <v>458</v>
      </c>
      <c r="D152" s="10" t="s">
        <v>459</v>
      </c>
      <c r="E152" s="11">
        <v>71.9</v>
      </c>
      <c r="F152" s="3">
        <v>77.0</v>
      </c>
      <c r="G152" s="8">
        <f>VLOOKUP(B152, Sheet18!$B:$E, 4, FALSE)</f>
        <v>47.6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">
        <v>686.0</v>
      </c>
      <c r="B153" s="7" t="s">
        <v>460</v>
      </c>
      <c r="C153" s="10" t="s">
        <v>461</v>
      </c>
      <c r="D153" s="10" t="s">
        <v>462</v>
      </c>
      <c r="E153" s="11">
        <v>46.5</v>
      </c>
      <c r="F153" s="3">
        <v>73.8</v>
      </c>
      <c r="G153" s="8">
        <f>VLOOKUP(B153, Sheet18!$B:$E, 4, FALSE)</f>
        <v>66.3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">
        <v>688.0</v>
      </c>
      <c r="B154" s="7" t="s">
        <v>463</v>
      </c>
      <c r="C154" s="10" t="s">
        <v>464</v>
      </c>
      <c r="D154" s="10" t="s">
        <v>465</v>
      </c>
      <c r="E154" s="11">
        <v>11.7</v>
      </c>
      <c r="F154" s="3">
        <v>33.2</v>
      </c>
      <c r="G154" s="8">
        <f>VLOOKUP(B154, Sheet18!$B:$E, 4, FALSE)</f>
        <v>81.5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">
        <v>690.0</v>
      </c>
      <c r="B155" s="7" t="s">
        <v>466</v>
      </c>
      <c r="C155" s="10" t="s">
        <v>467</v>
      </c>
      <c r="D155" s="10" t="s">
        <v>468</v>
      </c>
      <c r="E155" s="11">
        <v>87.6</v>
      </c>
      <c r="F155" s="3">
        <v>91.4</v>
      </c>
      <c r="G155" s="8">
        <f>VLOOKUP(B155, Sheet18!$B:$E, 4, FALSE)</f>
        <v>70.8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">
        <v>694.0</v>
      </c>
      <c r="B156" s="7" t="s">
        <v>469</v>
      </c>
      <c r="C156" s="10" t="s">
        <v>470</v>
      </c>
      <c r="D156" s="10" t="s">
        <v>471</v>
      </c>
      <c r="E156" s="11">
        <v>59.1</v>
      </c>
      <c r="F156" s="3">
        <v>84.5</v>
      </c>
      <c r="G156" s="8">
        <f>VLOOKUP(B156, Sheet18!$B:$E, 4, FALSE)</f>
        <v>81.6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">
        <v>702.0</v>
      </c>
      <c r="B157" s="7" t="s">
        <v>472</v>
      </c>
      <c r="C157" s="10" t="s">
        <v>473</v>
      </c>
      <c r="D157" s="10" t="s">
        <v>474</v>
      </c>
      <c r="E157" s="11">
        <v>20.0</v>
      </c>
      <c r="F157" s="3">
        <v>24.6</v>
      </c>
      <c r="G157" s="8">
        <f>VLOOKUP(B157, Sheet18!$B:$E, 4, FALSE)</f>
        <v>65.5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">
        <v>703.0</v>
      </c>
      <c r="B158" s="7" t="s">
        <v>475</v>
      </c>
      <c r="C158" s="10" t="s">
        <v>476</v>
      </c>
      <c r="D158" s="10" t="s">
        <v>477</v>
      </c>
      <c r="E158" s="11">
        <v>4.5</v>
      </c>
      <c r="F158" s="3">
        <v>11.4</v>
      </c>
      <c r="G158" s="8">
        <f>VLOOKUP(B158, Sheet18!$B:$E, 4, FALSE)</f>
        <v>97.2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">
        <v>705.0</v>
      </c>
      <c r="B159" s="7" t="s">
        <v>478</v>
      </c>
      <c r="C159" s="10" t="s">
        <v>479</v>
      </c>
      <c r="D159" s="10" t="s">
        <v>480</v>
      </c>
      <c r="E159" s="11">
        <v>8.1</v>
      </c>
      <c r="F159" s="3">
        <v>15.1</v>
      </c>
      <c r="G159" s="8">
        <f>VLOOKUP(B159, Sheet18!$B:$E, 4, FALSE)</f>
        <v>93.4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">
        <v>90.0</v>
      </c>
      <c r="B160" s="7" t="s">
        <v>481</v>
      </c>
      <c r="C160" s="10" t="s">
        <v>482</v>
      </c>
      <c r="D160" s="10" t="s">
        <v>483</v>
      </c>
      <c r="E160" s="11">
        <v>77.0</v>
      </c>
      <c r="F160" s="3">
        <v>96.9</v>
      </c>
      <c r="G160" s="8">
        <f>VLOOKUP(B160, Sheet18!$B:$E, 4, FALSE)</f>
        <v>85.8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">
        <v>706.0</v>
      </c>
      <c r="B161" s="7" t="s">
        <v>484</v>
      </c>
      <c r="C161" s="10" t="s">
        <v>485</v>
      </c>
      <c r="D161" s="10" t="s">
        <v>486</v>
      </c>
      <c r="E161" s="11">
        <v>83.0</v>
      </c>
      <c r="F161" s="3">
        <v>93.4</v>
      </c>
      <c r="G161" s="8">
        <f>VLOOKUP(B161, Sheet18!$B:$E, 4, FALSE)</f>
        <v>87.5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">
        <v>710.0</v>
      </c>
      <c r="B162" s="7" t="s">
        <v>487</v>
      </c>
      <c r="C162" s="10" t="s">
        <v>488</v>
      </c>
      <c r="D162" s="10" t="s">
        <v>489</v>
      </c>
      <c r="E162" s="11">
        <v>26.2</v>
      </c>
      <c r="F162" s="3">
        <v>62.7</v>
      </c>
      <c r="G162" s="8">
        <f>VLOOKUP(B162, Sheet18!$B:$E, 4, FALSE)</f>
        <v>43.2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">
        <v>728.0</v>
      </c>
      <c r="B163" s="7" t="s">
        <v>490</v>
      </c>
      <c r="C163" s="10" t="s">
        <v>491</v>
      </c>
      <c r="D163" s="10" t="s">
        <v>492</v>
      </c>
      <c r="E163" s="11">
        <v>90.7</v>
      </c>
      <c r="F163" s="3">
        <v>98.5</v>
      </c>
      <c r="G163" s="8">
        <f>VLOOKUP(B163, Sheet18!$B:$E, 4, FALSE)</f>
        <v>79.2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">
        <v>724.0</v>
      </c>
      <c r="B164" s="7" t="s">
        <v>493</v>
      </c>
      <c r="C164" s="10" t="s">
        <v>494</v>
      </c>
      <c r="D164" s="10" t="s">
        <v>495</v>
      </c>
      <c r="E164" s="11">
        <v>9.8</v>
      </c>
      <c r="F164" s="3">
        <v>30.9</v>
      </c>
      <c r="G164" s="8">
        <f>VLOOKUP(B164, Sheet18!$B:$E, 4, FALSE)</f>
        <v>76.6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">
        <v>144.0</v>
      </c>
      <c r="B165" s="7" t="s">
        <v>496</v>
      </c>
      <c r="C165" s="10" t="s">
        <v>497</v>
      </c>
      <c r="D165" s="10" t="s">
        <v>498</v>
      </c>
      <c r="E165" s="11">
        <v>17.1</v>
      </c>
      <c r="F165" s="3">
        <v>33.6</v>
      </c>
      <c r="G165" s="8">
        <f>VLOOKUP(B165, Sheet18!$B:$E, 4, FALSE)</f>
        <v>44.3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">
        <v>275.0</v>
      </c>
      <c r="B166" s="7" t="s">
        <v>499</v>
      </c>
      <c r="C166" s="10" t="s">
        <v>500</v>
      </c>
      <c r="D166" s="10" t="s">
        <v>501</v>
      </c>
      <c r="E166" s="11">
        <v>14.3</v>
      </c>
      <c r="F166" s="3">
        <v>35.9</v>
      </c>
      <c r="G166" s="8">
        <f>VLOOKUP(B166, Sheet18!$B:$E, 4, FALSE)</f>
        <v>96.1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">
        <v>729.0</v>
      </c>
      <c r="B167" s="7" t="s">
        <v>502</v>
      </c>
      <c r="C167" s="10" t="s">
        <v>503</v>
      </c>
      <c r="D167" s="10" t="s">
        <v>504</v>
      </c>
      <c r="E167" s="11">
        <v>74.1</v>
      </c>
      <c r="F167" s="3">
        <v>98.2</v>
      </c>
      <c r="G167" s="8">
        <f>VLOOKUP(B167, Sheet18!$B:$E, 4, FALSE)</f>
        <v>74.3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">
        <v>740.0</v>
      </c>
      <c r="B168" s="7" t="s">
        <v>505</v>
      </c>
      <c r="C168" s="10" t="s">
        <v>506</v>
      </c>
      <c r="D168" s="10" t="s">
        <v>507</v>
      </c>
      <c r="E168" s="11">
        <v>81.9</v>
      </c>
      <c r="F168" s="3">
        <v>95.6</v>
      </c>
      <c r="G168" s="8">
        <f>VLOOKUP(B168, Sheet18!$B:$E, 4, FALSE)</f>
        <v>82.2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">
        <v>752.0</v>
      </c>
      <c r="B169" s="7" t="s">
        <v>508</v>
      </c>
      <c r="C169" s="10" t="s">
        <v>509</v>
      </c>
      <c r="D169" s="10" t="s">
        <v>510</v>
      </c>
      <c r="E169" s="11">
        <v>12.7</v>
      </c>
      <c r="F169" s="3">
        <v>25.7</v>
      </c>
      <c r="G169" s="8">
        <f>VLOOKUP(B169, Sheet18!$B:$E, 4, FALSE)</f>
        <v>86.7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">
        <v>756.0</v>
      </c>
      <c r="B170" s="7" t="s">
        <v>511</v>
      </c>
      <c r="C170" s="10" t="s">
        <v>512</v>
      </c>
      <c r="D170" s="10" t="s">
        <v>513</v>
      </c>
      <c r="E170" s="11">
        <v>28.1</v>
      </c>
      <c r="F170" s="3">
        <v>32.3</v>
      </c>
      <c r="G170" s="8">
        <f>VLOOKUP(B170, Sheet18!$B:$E, 4, FALSE)</f>
        <v>57.4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">
        <v>438.0</v>
      </c>
      <c r="B171" s="14" t="s">
        <v>514</v>
      </c>
      <c r="C171" s="10" t="s">
        <v>515</v>
      </c>
      <c r="D171" s="10" t="s">
        <v>516</v>
      </c>
      <c r="E171" s="6"/>
      <c r="F171" s="3"/>
      <c r="G171" s="8" t="str">
        <f>VLOOKUP(B171, Sheet18!$B:$E, 4, FALSE)</f>
        <v/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">
        <v>760.0</v>
      </c>
      <c r="B172" s="7" t="s">
        <v>517</v>
      </c>
      <c r="C172" s="10" t="s">
        <v>518</v>
      </c>
      <c r="D172" s="10" t="s">
        <v>519</v>
      </c>
      <c r="E172" s="11">
        <v>23.1</v>
      </c>
      <c r="F172" s="3">
        <v>67.1</v>
      </c>
      <c r="G172" s="8">
        <f>VLOOKUP(B172, Sheet18!$B:$E, 4, FALSE)</f>
        <v>91.2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">
        <v>762.0</v>
      </c>
      <c r="B173" s="7" t="s">
        <v>520</v>
      </c>
      <c r="C173" s="10" t="s">
        <v>521</v>
      </c>
      <c r="D173" s="10" t="s">
        <v>522</v>
      </c>
      <c r="E173" s="11">
        <v>39.3</v>
      </c>
      <c r="F173" s="3">
        <v>85.1</v>
      </c>
      <c r="G173" s="8">
        <f>VLOOKUP(B173, Sheet18!$B:$E, 4, FALSE)</f>
        <v>62.5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">
        <v>834.0</v>
      </c>
      <c r="B174" s="7" t="s">
        <v>523</v>
      </c>
      <c r="C174" s="10" t="s">
        <v>524</v>
      </c>
      <c r="D174" s="10" t="s">
        <v>525</v>
      </c>
      <c r="E174" s="11">
        <v>48.0</v>
      </c>
      <c r="F174" s="3">
        <v>89.5</v>
      </c>
      <c r="G174" s="8">
        <f>VLOOKUP(B174, Sheet18!$B:$E, 4, FALSE)</f>
        <v>56.1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">
        <v>764.0</v>
      </c>
      <c r="B175" s="7" t="s">
        <v>526</v>
      </c>
      <c r="C175" s="10" t="s">
        <v>527</v>
      </c>
      <c r="D175" s="10" t="s">
        <v>528</v>
      </c>
      <c r="E175" s="11">
        <v>7.5</v>
      </c>
      <c r="F175" s="3">
        <v>28.6</v>
      </c>
      <c r="G175" s="8">
        <f>VLOOKUP(B175, Sheet18!$B:$E, 4, FALSE)</f>
        <v>62.9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">
        <v>626.0</v>
      </c>
      <c r="B176" s="7" t="s">
        <v>529</v>
      </c>
      <c r="C176" s="10" t="s">
        <v>530</v>
      </c>
      <c r="D176" s="10" t="s">
        <v>531</v>
      </c>
      <c r="E176" s="11">
        <v>92.7</v>
      </c>
      <c r="F176" s="3">
        <v>94.8</v>
      </c>
      <c r="G176" s="8">
        <f>VLOOKUP(B176, Sheet18!$B:$E, 4, FALSE)</f>
        <v>79.4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">
        <v>768.0</v>
      </c>
      <c r="B177" s="7" t="s">
        <v>532</v>
      </c>
      <c r="C177" s="10" t="s">
        <v>533</v>
      </c>
      <c r="D177" s="10" t="s">
        <v>534</v>
      </c>
      <c r="E177" s="11">
        <v>44.2</v>
      </c>
      <c r="F177" s="3">
        <v>82.6</v>
      </c>
      <c r="G177" s="8">
        <f>VLOOKUP(B177, Sheet18!$B:$E, 4, FALSE)</f>
        <v>65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">
        <v>776.0</v>
      </c>
      <c r="B178" s="7" t="s">
        <v>535</v>
      </c>
      <c r="C178" s="10" t="s">
        <v>536</v>
      </c>
      <c r="D178" s="10" t="s">
        <v>537</v>
      </c>
      <c r="E178" s="11">
        <v>46.2</v>
      </c>
      <c r="F178" s="3">
        <v>77.0</v>
      </c>
      <c r="G178" s="8">
        <f>VLOOKUP(B178, Sheet18!$B:$E, 4, FALSE)</f>
        <v>69.6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">
        <v>780.0</v>
      </c>
      <c r="B179" s="7" t="s">
        <v>538</v>
      </c>
      <c r="C179" s="10" t="s">
        <v>539</v>
      </c>
      <c r="D179" s="10" t="s">
        <v>540</v>
      </c>
      <c r="E179" s="11">
        <v>41.9</v>
      </c>
      <c r="F179" s="3">
        <v>49.6</v>
      </c>
      <c r="G179" s="8">
        <f>VLOOKUP(B179, Sheet18!$B:$E, 4, FALSE)</f>
        <v>70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">
        <v>788.0</v>
      </c>
      <c r="B180" s="7" t="s">
        <v>541</v>
      </c>
      <c r="C180" s="10" t="s">
        <v>542</v>
      </c>
      <c r="D180" s="10" t="s">
        <v>543</v>
      </c>
      <c r="E180" s="11">
        <v>12.8</v>
      </c>
      <c r="F180" s="3">
        <v>21.8</v>
      </c>
      <c r="G180" s="8">
        <f>VLOOKUP(B180, Sheet18!$B:$E, 4, FALSE)</f>
        <v>73.2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">
        <v>792.0</v>
      </c>
      <c r="B181" s="7" t="s">
        <v>544</v>
      </c>
      <c r="C181" s="10" t="s">
        <v>545</v>
      </c>
      <c r="D181" s="10" t="s">
        <v>546</v>
      </c>
      <c r="E181" s="11">
        <v>9.2</v>
      </c>
      <c r="F181" s="3">
        <v>25.1</v>
      </c>
      <c r="G181" s="8">
        <f>VLOOKUP(B181, Sheet18!$B:$E, 4, FALSE)</f>
        <v>64.6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">
        <v>795.0</v>
      </c>
      <c r="B182" s="7" t="s">
        <v>547</v>
      </c>
      <c r="C182" s="10" t="s">
        <v>548</v>
      </c>
      <c r="D182" s="10" t="s">
        <v>549</v>
      </c>
      <c r="E182" s="11">
        <v>79.0</v>
      </c>
      <c r="F182" s="3">
        <v>88.2</v>
      </c>
      <c r="G182" s="8">
        <f>VLOOKUP(B182, Sheet18!$B:$E, 4, FALSE)</f>
        <v>73.1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">
        <v>798.0</v>
      </c>
      <c r="B183" s="7" t="s">
        <v>550</v>
      </c>
      <c r="C183" s="10" t="s">
        <v>551</v>
      </c>
      <c r="D183" s="10" t="s">
        <v>552</v>
      </c>
      <c r="E183" s="11">
        <v>65.4</v>
      </c>
      <c r="F183" s="3">
        <v>65.6</v>
      </c>
      <c r="G183" s="8">
        <f>VLOOKUP(B183, Sheet18!$B:$E, 4, FALSE)</f>
        <v>96.5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">
        <v>800.0</v>
      </c>
      <c r="B184" s="7" t="s">
        <v>553</v>
      </c>
      <c r="C184" s="10" t="s">
        <v>554</v>
      </c>
      <c r="D184" s="10" t="s">
        <v>555</v>
      </c>
      <c r="E184" s="11">
        <v>61.8</v>
      </c>
      <c r="F184" s="3">
        <v>79.7</v>
      </c>
      <c r="G184" s="8">
        <f>VLOOKUP(B184, Sheet18!$B:$E, 4, FALSE)</f>
        <v>66.7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">
        <v>804.0</v>
      </c>
      <c r="B185" s="7" t="s">
        <v>556</v>
      </c>
      <c r="C185" s="10" t="s">
        <v>557</v>
      </c>
      <c r="D185" s="10" t="s">
        <v>558</v>
      </c>
      <c r="E185" s="11">
        <v>35.1</v>
      </c>
      <c r="F185" s="3">
        <v>68.0</v>
      </c>
      <c r="G185" s="8">
        <f>VLOOKUP(B185, Sheet18!$B:$E, 4, FALSE)</f>
        <v>73.7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">
        <v>784.0</v>
      </c>
      <c r="B186" s="7" t="s">
        <v>559</v>
      </c>
      <c r="C186" s="10" t="s">
        <v>560</v>
      </c>
      <c r="D186" s="10" t="s">
        <v>561</v>
      </c>
      <c r="E186" s="11">
        <v>51.7</v>
      </c>
      <c r="F186" s="3">
        <v>70.4</v>
      </c>
      <c r="G186" s="8">
        <f>VLOOKUP(B186, Sheet18!$B:$E, 4, FALSE)</f>
        <v>44.1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">
        <v>826.0</v>
      </c>
      <c r="B187" s="7" t="s">
        <v>562</v>
      </c>
      <c r="C187" s="10" t="s">
        <v>563</v>
      </c>
      <c r="D187" s="10" t="s">
        <v>564</v>
      </c>
      <c r="E187" s="11">
        <v>20.9</v>
      </c>
      <c r="F187" s="3">
        <v>35.2</v>
      </c>
      <c r="G187" s="8">
        <f>VLOOKUP(B187, Sheet18!$B:$E, 4, FALSE)</f>
        <v>72.8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">
        <v>840.0</v>
      </c>
      <c r="B188" s="7" t="s">
        <v>565</v>
      </c>
      <c r="C188" s="10" t="s">
        <v>566</v>
      </c>
      <c r="D188" s="10" t="s">
        <v>567</v>
      </c>
      <c r="E188" s="11">
        <v>15.3</v>
      </c>
      <c r="F188" s="3">
        <v>35.2</v>
      </c>
      <c r="G188" s="8">
        <f>VLOOKUP(B188, Sheet18!$B:$E, 4, FALSE)</f>
        <v>43.7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">
        <v>858.0</v>
      </c>
      <c r="B189" s="7" t="s">
        <v>568</v>
      </c>
      <c r="C189" s="10" t="s">
        <v>569</v>
      </c>
      <c r="D189" s="10" t="s">
        <v>570</v>
      </c>
      <c r="E189" s="11">
        <v>42.0</v>
      </c>
      <c r="F189" s="3">
        <v>81.0</v>
      </c>
      <c r="G189" s="8">
        <f>VLOOKUP(B189, Sheet18!$B:$E, 4, FALSE)</f>
        <v>65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">
        <v>860.0</v>
      </c>
      <c r="B190" s="7" t="s">
        <v>571</v>
      </c>
      <c r="C190" s="10" t="s">
        <v>572</v>
      </c>
      <c r="D190" s="10" t="s">
        <v>573</v>
      </c>
      <c r="E190" s="11">
        <v>46.1</v>
      </c>
      <c r="F190" s="3">
        <v>64.3</v>
      </c>
      <c r="G190" s="8">
        <f>VLOOKUP(B190, Sheet18!$B:$E, 4, FALSE)</f>
        <v>63.4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">
        <v>548.0</v>
      </c>
      <c r="B191" s="7" t="s">
        <v>574</v>
      </c>
      <c r="C191" s="10" t="s">
        <v>575</v>
      </c>
      <c r="D191" s="10" t="s">
        <v>576</v>
      </c>
      <c r="E191" s="11">
        <v>50.6</v>
      </c>
      <c r="F191" s="3">
        <v>87.9</v>
      </c>
      <c r="G191" s="8">
        <f>VLOOKUP(B191, Sheet18!$B:$E, 4, FALSE)</f>
        <v>84.2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">
        <v>862.0</v>
      </c>
      <c r="B192" s="7" t="s">
        <v>577</v>
      </c>
      <c r="C192" s="10" t="s">
        <v>578</v>
      </c>
      <c r="D192" s="10" t="s">
        <v>579</v>
      </c>
      <c r="E192" s="11">
        <v>71.6</v>
      </c>
      <c r="F192" s="3">
        <v>81.2</v>
      </c>
      <c r="G192" s="8">
        <f>VLOOKUP(B192, Sheet18!$B:$E, 4, FALSE)</f>
        <v>68.4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">
        <v>704.0</v>
      </c>
      <c r="B193" s="7" t="s">
        <v>580</v>
      </c>
      <c r="C193" s="10" t="s">
        <v>581</v>
      </c>
      <c r="D193" s="10" t="s">
        <v>582</v>
      </c>
      <c r="E193" s="11">
        <v>5.6</v>
      </c>
      <c r="F193" s="3">
        <v>13.5</v>
      </c>
      <c r="G193" s="8">
        <f>VLOOKUP(B193, Sheet18!$B:$E, 4, FALSE)</f>
        <v>54.8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">
        <v>887.0</v>
      </c>
      <c r="B194" s="7" t="s">
        <v>583</v>
      </c>
      <c r="C194" s="10" t="s">
        <v>584</v>
      </c>
      <c r="D194" s="10" t="s">
        <v>585</v>
      </c>
      <c r="E194" s="11">
        <v>64.7</v>
      </c>
      <c r="F194" s="3">
        <v>92.3</v>
      </c>
      <c r="G194" s="8">
        <f>VLOOKUP(B194, Sheet18!$B:$E, 4, FALSE)</f>
        <v>71.5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">
        <v>894.0</v>
      </c>
      <c r="B195" s="7" t="s">
        <v>586</v>
      </c>
      <c r="C195" s="10" t="s">
        <v>587</v>
      </c>
      <c r="D195" s="10" t="s">
        <v>588</v>
      </c>
      <c r="E195" s="11">
        <v>73.8</v>
      </c>
      <c r="F195" s="3">
        <v>88.8</v>
      </c>
      <c r="G195" s="8">
        <f>VLOOKUP(B195, Sheet18!$B:$E, 4, FALSE)</f>
        <v>71.9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">
        <v>716.0</v>
      </c>
      <c r="B196" s="7" t="s">
        <v>589</v>
      </c>
      <c r="C196" s="10" t="s">
        <v>590</v>
      </c>
      <c r="D196" s="10" t="s">
        <v>591</v>
      </c>
      <c r="E196" s="11">
        <v>62.9</v>
      </c>
      <c r="F196" s="3">
        <v>90.8</v>
      </c>
      <c r="G196" s="8">
        <f>VLOOKUP(B196, Sheet18!$B:$E, 4, FALSE)</f>
        <v>80.9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/>
      <c r="B1" s="16" t="s">
        <v>592</v>
      </c>
    </row>
    <row r="2">
      <c r="A2" s="16" t="s">
        <v>8</v>
      </c>
      <c r="B2" s="17">
        <v>0.952</v>
      </c>
    </row>
    <row r="3">
      <c r="A3" s="16" t="s">
        <v>11</v>
      </c>
      <c r="B3" s="17">
        <v>0.321</v>
      </c>
    </row>
    <row r="4">
      <c r="A4" s="16" t="s">
        <v>14</v>
      </c>
      <c r="B4" s="17">
        <v>0.96</v>
      </c>
    </row>
    <row r="5">
      <c r="A5" s="16" t="s">
        <v>17</v>
      </c>
      <c r="B5" s="17">
        <v>0.081</v>
      </c>
    </row>
    <row r="6">
      <c r="A6" s="16" t="s">
        <v>20</v>
      </c>
      <c r="B6" s="17">
        <v>0.961</v>
      </c>
    </row>
    <row r="7">
      <c r="A7" s="16" t="s">
        <v>23</v>
      </c>
      <c r="B7" s="17">
        <v>0.4</v>
      </c>
    </row>
    <row r="8">
      <c r="A8" s="16" t="s">
        <v>26</v>
      </c>
      <c r="B8" s="17">
        <v>0.809</v>
      </c>
    </row>
    <row r="9">
      <c r="A9" s="16" t="s">
        <v>29</v>
      </c>
      <c r="B9" s="17">
        <v>0.747</v>
      </c>
    </row>
    <row r="10">
      <c r="A10" s="16" t="s">
        <v>32</v>
      </c>
      <c r="B10" s="17">
        <v>0.916</v>
      </c>
    </row>
    <row r="11">
      <c r="A11" s="16" t="s">
        <v>35</v>
      </c>
      <c r="B11" s="17">
        <v>0.182</v>
      </c>
    </row>
    <row r="12">
      <c r="A12" s="16" t="s">
        <v>38</v>
      </c>
      <c r="B12" s="17">
        <v>0.957</v>
      </c>
    </row>
    <row r="13">
      <c r="A13" s="16" t="s">
        <v>41</v>
      </c>
      <c r="B13" s="17">
        <v>0.537</v>
      </c>
    </row>
    <row r="14">
      <c r="A14" s="16" t="s">
        <v>44</v>
      </c>
      <c r="B14" s="17">
        <v>0.733</v>
      </c>
    </row>
    <row r="15">
      <c r="A15" s="16" t="s">
        <v>47</v>
      </c>
      <c r="B15" s="17">
        <v>0.046</v>
      </c>
    </row>
    <row r="16">
      <c r="A16" s="16" t="s">
        <v>50</v>
      </c>
      <c r="B16" s="17">
        <v>0.517</v>
      </c>
    </row>
    <row r="17">
      <c r="A17" s="16" t="s">
        <v>53</v>
      </c>
      <c r="B17" s="17">
        <v>0.374</v>
      </c>
    </row>
    <row r="18">
      <c r="A18" s="16" t="s">
        <v>56</v>
      </c>
      <c r="B18" s="17">
        <v>0.344</v>
      </c>
    </row>
    <row r="19">
      <c r="A19" s="16" t="s">
        <v>59</v>
      </c>
      <c r="B19" s="17">
        <v>0.893</v>
      </c>
    </row>
    <row r="20">
      <c r="A20" s="16" t="s">
        <v>62</v>
      </c>
      <c r="B20" s="17">
        <v>0.927</v>
      </c>
    </row>
    <row r="21">
      <c r="A21" s="16" t="s">
        <v>65</v>
      </c>
      <c r="B21" s="17">
        <v>0.559</v>
      </c>
    </row>
    <row r="22">
      <c r="A22" s="16" t="s">
        <v>68</v>
      </c>
      <c r="B22" s="17">
        <v>0.947</v>
      </c>
    </row>
    <row r="23">
      <c r="A23" s="16" t="s">
        <v>71</v>
      </c>
      <c r="B23" s="17">
        <v>0.273</v>
      </c>
    </row>
    <row r="24">
      <c r="A24" s="16" t="s">
        <v>74</v>
      </c>
      <c r="B24" s="17">
        <v>0.94</v>
      </c>
    </row>
    <row r="25">
      <c r="A25" s="16" t="s">
        <v>77</v>
      </c>
      <c r="B25" s="17">
        <v>0.759</v>
      </c>
    </row>
    <row r="26">
      <c r="A26" s="16" t="s">
        <v>80</v>
      </c>
      <c r="B26" s="17">
        <v>0.79</v>
      </c>
    </row>
    <row r="27">
      <c r="A27" s="16" t="s">
        <v>83</v>
      </c>
      <c r="B27" s="17">
        <v>0.434</v>
      </c>
    </row>
    <row r="28">
      <c r="A28" s="16" t="s">
        <v>86</v>
      </c>
      <c r="B28" s="17">
        <v>0.96</v>
      </c>
    </row>
    <row r="29">
      <c r="A29" s="16" t="s">
        <v>89</v>
      </c>
      <c r="B29" s="17">
        <v>0.895</v>
      </c>
    </row>
    <row r="30">
      <c r="A30" s="16" t="s">
        <v>92</v>
      </c>
      <c r="B30" s="17">
        <v>0.744</v>
      </c>
    </row>
    <row r="31">
      <c r="A31" s="16" t="s">
        <v>95</v>
      </c>
      <c r="B31" s="17">
        <v>0.202</v>
      </c>
    </row>
    <row r="32">
      <c r="A32" s="16" t="s">
        <v>98</v>
      </c>
      <c r="B32" s="17">
        <v>0.937</v>
      </c>
    </row>
    <row r="33">
      <c r="A33" s="16" t="s">
        <v>101</v>
      </c>
      <c r="B33" s="17">
        <v>0.558</v>
      </c>
    </row>
    <row r="34">
      <c r="A34" s="16" t="s">
        <v>104</v>
      </c>
      <c r="B34" s="17">
        <v>0.899</v>
      </c>
    </row>
    <row r="35">
      <c r="A35" s="16" t="s">
        <v>107</v>
      </c>
      <c r="B35" s="17">
        <v>0.998</v>
      </c>
    </row>
    <row r="36">
      <c r="A36" s="16" t="s">
        <v>110</v>
      </c>
      <c r="B36" s="17">
        <v>0.828</v>
      </c>
    </row>
    <row r="37">
      <c r="A37" s="16" t="s">
        <v>113</v>
      </c>
      <c r="B37" s="17">
        <v>0.063</v>
      </c>
    </row>
    <row r="38">
      <c r="A38" s="16" t="s">
        <v>116</v>
      </c>
      <c r="B38" s="17">
        <v>0.801</v>
      </c>
    </row>
    <row r="39">
      <c r="A39" s="16" t="s">
        <v>119</v>
      </c>
      <c r="B39" s="17">
        <v>0.506</v>
      </c>
    </row>
    <row r="40">
      <c r="A40" s="16" t="s">
        <v>122</v>
      </c>
      <c r="B40" s="17">
        <v>0.965</v>
      </c>
    </row>
    <row r="41">
      <c r="A41" s="16" t="s">
        <v>125</v>
      </c>
      <c r="B41" s="17">
        <v>0.907</v>
      </c>
    </row>
    <row r="42">
      <c r="A42" s="16" t="s">
        <v>128</v>
      </c>
      <c r="B42" s="17">
        <v>0.347</v>
      </c>
    </row>
    <row r="43">
      <c r="A43" s="16" t="s">
        <v>131</v>
      </c>
      <c r="B43" s="17">
        <v>0.919</v>
      </c>
    </row>
    <row r="44">
      <c r="A44" s="16" t="s">
        <v>134</v>
      </c>
      <c r="B44" s="17">
        <v>0.386</v>
      </c>
    </row>
    <row r="45">
      <c r="A45" s="16" t="s">
        <v>137</v>
      </c>
      <c r="B45" s="17">
        <v>0.863</v>
      </c>
    </row>
    <row r="46">
      <c r="A46" s="16" t="s">
        <v>140</v>
      </c>
      <c r="B46" s="17">
        <v>0.485</v>
      </c>
    </row>
    <row r="47">
      <c r="A47" s="16" t="s">
        <v>143</v>
      </c>
      <c r="B47" s="17">
        <v>0.103</v>
      </c>
    </row>
    <row r="48">
      <c r="A48" s="16" t="s">
        <v>146</v>
      </c>
      <c r="B48" s="17">
        <v>0.301</v>
      </c>
    </row>
    <row r="49">
      <c r="A49" s="16" t="s">
        <v>149</v>
      </c>
      <c r="B49" s="17">
        <v>0.476</v>
      </c>
    </row>
    <row r="50">
      <c r="A50" s="16" t="s">
        <v>152</v>
      </c>
      <c r="B50" s="17">
        <v>0.375</v>
      </c>
    </row>
    <row r="51">
      <c r="A51" s="16" t="s">
        <v>155</v>
      </c>
      <c r="B51" s="17">
        <v>0.388</v>
      </c>
    </row>
    <row r="52">
      <c r="A52" s="16" t="s">
        <v>158</v>
      </c>
      <c r="B52" s="17">
        <v>0.95</v>
      </c>
    </row>
    <row r="53">
      <c r="A53" s="16" t="s">
        <v>161</v>
      </c>
      <c r="B53" s="17">
        <v>0.528</v>
      </c>
    </row>
    <row r="54">
      <c r="A54" s="16" t="s">
        <v>164</v>
      </c>
      <c r="B54" s="17">
        <v>0.277</v>
      </c>
    </row>
    <row r="55">
      <c r="A55" s="16" t="s">
        <v>167</v>
      </c>
      <c r="B55" s="17">
        <v>0.953</v>
      </c>
    </row>
    <row r="56">
      <c r="A56" s="16" t="s">
        <v>170</v>
      </c>
      <c r="B56" s="17">
        <v>0.931</v>
      </c>
    </row>
    <row r="57">
      <c r="A57" s="16" t="s">
        <v>173</v>
      </c>
      <c r="B57" s="17">
        <v>0.358</v>
      </c>
    </row>
    <row r="58">
      <c r="A58" s="16" t="s">
        <v>176</v>
      </c>
      <c r="B58" s="17">
        <v>0.409</v>
      </c>
    </row>
    <row r="59">
      <c r="A59" s="16" t="s">
        <v>179</v>
      </c>
      <c r="B59" s="17">
        <v>0.845</v>
      </c>
    </row>
    <row r="60">
      <c r="A60" s="16" t="s">
        <v>182</v>
      </c>
      <c r="B60" s="17">
        <v>0.835</v>
      </c>
    </row>
    <row r="61">
      <c r="A61" s="16" t="s">
        <v>185</v>
      </c>
      <c r="B61" s="17">
        <v>0.291</v>
      </c>
    </row>
    <row r="62">
      <c r="A62" s="16" t="s">
        <v>188</v>
      </c>
      <c r="B62" s="17">
        <v>0.226</v>
      </c>
    </row>
    <row r="63">
      <c r="A63" s="16" t="s">
        <v>191</v>
      </c>
      <c r="B63" s="17">
        <v>0.876</v>
      </c>
    </row>
    <row r="64">
      <c r="A64" s="16" t="s">
        <v>194</v>
      </c>
      <c r="B64" s="17">
        <v>0.889</v>
      </c>
    </row>
    <row r="65">
      <c r="A65" s="16" t="s">
        <v>197</v>
      </c>
      <c r="B65" s="17">
        <v>0.41</v>
      </c>
    </row>
    <row r="66">
      <c r="A66" s="16" t="s">
        <v>200</v>
      </c>
      <c r="B66" s="17">
        <v>0.132</v>
      </c>
    </row>
    <row r="67">
      <c r="A67" s="16" t="s">
        <v>203</v>
      </c>
      <c r="B67" s="17">
        <v>0.948</v>
      </c>
    </row>
    <row r="68">
      <c r="A68" s="16" t="s">
        <v>206</v>
      </c>
      <c r="B68" s="17">
        <v>0.634</v>
      </c>
    </row>
    <row r="69">
      <c r="A69" s="16" t="s">
        <v>209</v>
      </c>
      <c r="B69" s="17">
        <v>0.543</v>
      </c>
    </row>
    <row r="70">
      <c r="A70" s="16" t="s">
        <v>212</v>
      </c>
      <c r="B70" s="17">
        <v>0.566</v>
      </c>
    </row>
    <row r="71">
      <c r="A71" s="16" t="s">
        <v>215</v>
      </c>
      <c r="B71" s="17">
        <v>0.975</v>
      </c>
    </row>
    <row r="72">
      <c r="A72" s="16" t="s">
        <v>218</v>
      </c>
      <c r="B72" s="17">
        <v>0.979</v>
      </c>
    </row>
    <row r="73">
      <c r="A73" s="16" t="s">
        <v>221</v>
      </c>
      <c r="B73" s="17">
        <v>0.956</v>
      </c>
    </row>
    <row r="74">
      <c r="A74" s="16" t="s">
        <v>224</v>
      </c>
      <c r="B74" s="17">
        <v>0.067</v>
      </c>
    </row>
    <row r="75">
      <c r="A75" s="16" t="s">
        <v>227</v>
      </c>
      <c r="B75" s="18" t="e">
        <v>#DIV/0!</v>
      </c>
    </row>
    <row r="76">
      <c r="A76" s="16" t="s">
        <v>230</v>
      </c>
      <c r="B76" s="17">
        <v>0.535</v>
      </c>
    </row>
    <row r="77">
      <c r="A77" s="16" t="s">
        <v>233</v>
      </c>
      <c r="B77" s="17">
        <v>0.141</v>
      </c>
    </row>
    <row r="78">
      <c r="A78" s="16" t="s">
        <v>236</v>
      </c>
      <c r="B78" s="17">
        <v>0.845</v>
      </c>
    </row>
    <row r="79">
      <c r="A79" s="16" t="s">
        <v>239</v>
      </c>
      <c r="B79" s="17">
        <v>0.405</v>
      </c>
    </row>
    <row r="80">
      <c r="A80" s="16" t="s">
        <v>242</v>
      </c>
      <c r="B80" s="17">
        <v>0.555</v>
      </c>
    </row>
    <row r="81">
      <c r="A81" s="16" t="s">
        <v>245</v>
      </c>
      <c r="B81" s="17">
        <v>0.514</v>
      </c>
    </row>
    <row r="82">
      <c r="A82" s="16" t="s">
        <v>248</v>
      </c>
      <c r="B82" s="17">
        <v>0.995</v>
      </c>
    </row>
    <row r="83">
      <c r="A83" s="16" t="s">
        <v>251</v>
      </c>
      <c r="B83" s="17">
        <v>0.097</v>
      </c>
    </row>
    <row r="84">
      <c r="A84" s="16" t="s">
        <v>254</v>
      </c>
      <c r="B84" s="17">
        <v>0.21</v>
      </c>
    </row>
    <row r="85">
      <c r="A85" s="16" t="s">
        <v>257</v>
      </c>
      <c r="B85" s="17">
        <v>0.183</v>
      </c>
    </row>
    <row r="86">
      <c r="A86" s="16" t="s">
        <v>260</v>
      </c>
      <c r="B86" s="17">
        <v>0.948</v>
      </c>
    </row>
    <row r="87">
      <c r="A87" s="16" t="s">
        <v>263</v>
      </c>
      <c r="B87" s="17">
        <v>0.098</v>
      </c>
    </row>
    <row r="88">
      <c r="A88" s="16" t="s">
        <v>266</v>
      </c>
      <c r="B88" s="17">
        <v>0.258</v>
      </c>
    </row>
    <row r="89">
      <c r="A89" s="16" t="s">
        <v>269</v>
      </c>
      <c r="B89" s="17">
        <v>0.845</v>
      </c>
    </row>
    <row r="90">
      <c r="A90" s="16" t="s">
        <v>272</v>
      </c>
      <c r="B90" s="17">
        <v>0.699</v>
      </c>
    </row>
    <row r="91">
      <c r="A91" s="16" t="s">
        <v>275</v>
      </c>
      <c r="B91" s="17">
        <v>0.888</v>
      </c>
    </row>
    <row r="92">
      <c r="A92" s="16" t="s">
        <v>278</v>
      </c>
      <c r="B92" s="17">
        <v>0.236</v>
      </c>
    </row>
    <row r="93">
      <c r="A93" s="16" t="s">
        <v>281</v>
      </c>
      <c r="B93" s="17">
        <v>0.138</v>
      </c>
    </row>
    <row r="94">
      <c r="A94" s="16" t="s">
        <v>284</v>
      </c>
      <c r="B94" s="17">
        <v>0.821</v>
      </c>
    </row>
    <row r="95">
      <c r="A95" s="16" t="s">
        <v>287</v>
      </c>
      <c r="B95" s="17">
        <v>0.766</v>
      </c>
    </row>
    <row r="96">
      <c r="A96" s="16" t="s">
        <v>290</v>
      </c>
      <c r="B96" s="17">
        <v>0.698</v>
      </c>
    </row>
    <row r="97">
      <c r="A97" s="16" t="s">
        <v>293</v>
      </c>
      <c r="B97" s="17">
        <v>0.459</v>
      </c>
    </row>
    <row r="98">
      <c r="A98" s="16" t="s">
        <v>296</v>
      </c>
      <c r="B98" s="17">
        <v>0.492</v>
      </c>
    </row>
    <row r="99">
      <c r="A99" s="16" t="s">
        <v>299</v>
      </c>
      <c r="B99" s="17">
        <v>0.514</v>
      </c>
    </row>
    <row r="100">
      <c r="A100" s="16" t="s">
        <v>302</v>
      </c>
      <c r="B100" s="17">
        <v>0.797</v>
      </c>
    </row>
    <row r="101">
      <c r="A101" s="16" t="s">
        <v>305</v>
      </c>
      <c r="B101" s="17">
        <v>0.986</v>
      </c>
    </row>
    <row r="102">
      <c r="A102" s="16" t="s">
        <v>308</v>
      </c>
      <c r="B102" s="17">
        <v>0.385</v>
      </c>
    </row>
    <row r="103">
      <c r="A103" s="16" t="s">
        <v>311</v>
      </c>
      <c r="B103" s="17">
        <v>0.186</v>
      </c>
    </row>
    <row r="104">
      <c r="A104" s="16" t="s">
        <v>314</v>
      </c>
      <c r="B104" s="17">
        <v>0.734</v>
      </c>
    </row>
    <row r="105">
      <c r="A105" s="16" t="s">
        <v>317</v>
      </c>
      <c r="B105" s="17">
        <v>0.848</v>
      </c>
    </row>
    <row r="106">
      <c r="A106" s="16" t="s">
        <v>320</v>
      </c>
      <c r="B106" s="17">
        <v>0.317</v>
      </c>
    </row>
    <row r="107">
      <c r="A107" s="16" t="s">
        <v>323</v>
      </c>
      <c r="B107" s="17">
        <v>0.76</v>
      </c>
    </row>
    <row r="108">
      <c r="A108" s="16" t="s">
        <v>326</v>
      </c>
      <c r="B108" s="17">
        <v>0.958</v>
      </c>
    </row>
    <row r="109">
      <c r="A109" s="16" t="s">
        <v>329</v>
      </c>
      <c r="B109" s="17">
        <v>0.304</v>
      </c>
    </row>
    <row r="110">
      <c r="A110" s="16" t="s">
        <v>332</v>
      </c>
      <c r="B110" s="17">
        <v>0.138</v>
      </c>
    </row>
    <row r="111">
      <c r="A111" s="16" t="s">
        <v>335</v>
      </c>
      <c r="B111" s="17">
        <v>0.978</v>
      </c>
    </row>
    <row r="112">
      <c r="A112" s="16" t="s">
        <v>338</v>
      </c>
      <c r="B112" s="17">
        <v>0.481</v>
      </c>
    </row>
    <row r="113">
      <c r="A113" s="16" t="s">
        <v>341</v>
      </c>
      <c r="B113" s="17">
        <v>0.177</v>
      </c>
    </row>
    <row r="114">
      <c r="A114" s="16" t="s">
        <v>344</v>
      </c>
      <c r="B114" s="17">
        <v>0.979</v>
      </c>
    </row>
    <row r="115">
      <c r="A115" s="16" t="s">
        <v>347</v>
      </c>
      <c r="B115" s="17">
        <v>0.559</v>
      </c>
    </row>
    <row r="116">
      <c r="A116" s="16" t="s">
        <v>350</v>
      </c>
      <c r="B116" s="18" t="e">
        <v>#DIV/0!</v>
      </c>
    </row>
    <row r="117">
      <c r="A117" s="16" t="s">
        <v>353</v>
      </c>
      <c r="B117" s="17">
        <v>0.988</v>
      </c>
    </row>
    <row r="118">
      <c r="A118" s="16" t="s">
        <v>356</v>
      </c>
      <c r="B118" s="17">
        <v>0.718</v>
      </c>
    </row>
    <row r="119">
      <c r="A119" s="16" t="s">
        <v>359</v>
      </c>
      <c r="B119" s="17">
        <v>0.263</v>
      </c>
    </row>
    <row r="120">
      <c r="A120" s="16" t="s">
        <v>362</v>
      </c>
      <c r="B120" s="17">
        <v>0.965</v>
      </c>
    </row>
    <row r="121">
      <c r="A121" s="16" t="s">
        <v>365</v>
      </c>
      <c r="B121" s="17">
        <v>0.558</v>
      </c>
    </row>
    <row r="122">
      <c r="A122" s="16" t="s">
        <v>368</v>
      </c>
      <c r="B122" s="17">
        <v>0.825</v>
      </c>
    </row>
    <row r="123">
      <c r="A123" s="16" t="s">
        <v>371</v>
      </c>
      <c r="B123" s="17">
        <v>0.949</v>
      </c>
    </row>
    <row r="124">
      <c r="A124" s="16" t="s">
        <v>374</v>
      </c>
      <c r="B124" s="17">
        <v>0.481</v>
      </c>
    </row>
    <row r="125">
      <c r="A125" s="16" t="s">
        <v>377</v>
      </c>
      <c r="B125" s="17">
        <v>0.378</v>
      </c>
    </row>
    <row r="126">
      <c r="A126" s="16" t="s">
        <v>380</v>
      </c>
      <c r="B126" s="17">
        <v>0.81</v>
      </c>
    </row>
    <row r="127">
      <c r="A127" s="16" t="s">
        <v>383</v>
      </c>
      <c r="B127" s="17">
        <v>0.579</v>
      </c>
    </row>
    <row r="128">
      <c r="A128" s="16" t="s">
        <v>386</v>
      </c>
      <c r="B128" s="17">
        <v>0.858</v>
      </c>
    </row>
    <row r="129">
      <c r="A129" s="16" t="s">
        <v>389</v>
      </c>
      <c r="B129" s="17">
        <v>0.967</v>
      </c>
    </row>
    <row r="130">
      <c r="A130" s="16" t="s">
        <v>392</v>
      </c>
      <c r="B130" s="17">
        <v>0.179</v>
      </c>
    </row>
    <row r="131">
      <c r="A131" s="16" t="s">
        <v>395</v>
      </c>
      <c r="B131" s="17">
        <v>0.882</v>
      </c>
    </row>
    <row r="132">
      <c r="A132" s="16" t="s">
        <v>398</v>
      </c>
      <c r="B132" s="17">
        <v>0.707</v>
      </c>
    </row>
    <row r="133">
      <c r="A133" s="16" t="s">
        <v>401</v>
      </c>
      <c r="B133" s="17">
        <v>0.286</v>
      </c>
    </row>
    <row r="134">
      <c r="A134" s="16" t="s">
        <v>404</v>
      </c>
      <c r="B134" s="17">
        <v>0.341</v>
      </c>
    </row>
    <row r="135">
      <c r="A135" s="16" t="s">
        <v>407</v>
      </c>
      <c r="B135" s="17">
        <v>0.678</v>
      </c>
    </row>
    <row r="136">
      <c r="A136" s="16" t="s">
        <v>410</v>
      </c>
      <c r="B136" s="17">
        <v>0.991</v>
      </c>
    </row>
    <row r="137">
      <c r="A137" s="16" t="s">
        <v>413</v>
      </c>
      <c r="B137" s="17">
        <v>0.848</v>
      </c>
    </row>
    <row r="138">
      <c r="A138" s="16" t="s">
        <v>416</v>
      </c>
      <c r="B138" s="17">
        <v>0.919</v>
      </c>
    </row>
    <row r="139">
      <c r="A139" s="16" t="s">
        <v>419</v>
      </c>
      <c r="B139" s="17">
        <v>0.212</v>
      </c>
    </row>
    <row r="140">
      <c r="A140" s="16" t="s">
        <v>422</v>
      </c>
      <c r="B140" s="17">
        <v>0.217</v>
      </c>
    </row>
    <row r="141">
      <c r="A141" s="16" t="s">
        <v>425</v>
      </c>
      <c r="B141" s="17">
        <v>0.258</v>
      </c>
    </row>
    <row r="142">
      <c r="A142" s="16" t="s">
        <v>428</v>
      </c>
      <c r="B142" s="17">
        <v>0.888</v>
      </c>
    </row>
    <row r="143">
      <c r="A143" s="16" t="s">
        <v>431</v>
      </c>
      <c r="B143" s="17">
        <v>0.224</v>
      </c>
    </row>
    <row r="144">
      <c r="A144" s="16" t="s">
        <v>434</v>
      </c>
      <c r="B144" s="17">
        <v>0.757</v>
      </c>
    </row>
    <row r="145">
      <c r="A145" s="16" t="s">
        <v>437</v>
      </c>
      <c r="B145" s="17">
        <v>0.891</v>
      </c>
    </row>
    <row r="146">
      <c r="A146" s="16" t="s">
        <v>440</v>
      </c>
      <c r="B146" s="17">
        <v>0.194</v>
      </c>
    </row>
    <row r="147">
      <c r="A147" s="16" t="s">
        <v>443</v>
      </c>
      <c r="B147" s="17">
        <v>0.672</v>
      </c>
    </row>
    <row r="148">
      <c r="A148" s="16" t="s">
        <v>446</v>
      </c>
      <c r="B148" s="17">
        <v>0.462</v>
      </c>
    </row>
    <row r="149">
      <c r="A149" s="16" t="s">
        <v>449</v>
      </c>
      <c r="B149" s="17">
        <v>0.472</v>
      </c>
    </row>
    <row r="150">
      <c r="A150" s="16" t="s">
        <v>452</v>
      </c>
      <c r="B150" s="18" t="e">
        <v>#DIV/0!</v>
      </c>
    </row>
    <row r="151">
      <c r="A151" s="16" t="s">
        <v>455</v>
      </c>
      <c r="B151" s="17">
        <v>0.672</v>
      </c>
    </row>
    <row r="152">
      <c r="A152" s="16" t="s">
        <v>458</v>
      </c>
      <c r="B152" s="17">
        <v>0.77</v>
      </c>
    </row>
    <row r="153">
      <c r="A153" s="16" t="s">
        <v>461</v>
      </c>
      <c r="B153" s="17">
        <v>0.738</v>
      </c>
    </row>
    <row r="154">
      <c r="A154" s="16" t="s">
        <v>464</v>
      </c>
      <c r="B154" s="17">
        <v>0.332</v>
      </c>
    </row>
    <row r="155">
      <c r="A155" s="16" t="s">
        <v>467</v>
      </c>
      <c r="B155" s="17">
        <v>0.914</v>
      </c>
    </row>
    <row r="156">
      <c r="A156" s="16" t="s">
        <v>470</v>
      </c>
      <c r="B156" s="17">
        <v>0.845</v>
      </c>
    </row>
    <row r="157">
      <c r="A157" s="16" t="s">
        <v>473</v>
      </c>
      <c r="B157" s="17">
        <v>0.246</v>
      </c>
    </row>
    <row r="158">
      <c r="A158" s="16" t="s">
        <v>476</v>
      </c>
      <c r="B158" s="17">
        <v>0.114</v>
      </c>
    </row>
    <row r="159">
      <c r="A159" s="16" t="s">
        <v>479</v>
      </c>
      <c r="B159" s="17">
        <v>0.151</v>
      </c>
    </row>
    <row r="160">
      <c r="A160" s="16" t="s">
        <v>482</v>
      </c>
      <c r="B160" s="17">
        <v>0.969</v>
      </c>
    </row>
    <row r="161">
      <c r="A161" s="16" t="s">
        <v>485</v>
      </c>
      <c r="B161" s="17">
        <v>0.934</v>
      </c>
    </row>
    <row r="162">
      <c r="A162" s="16" t="s">
        <v>488</v>
      </c>
      <c r="B162" s="17">
        <v>0.627</v>
      </c>
    </row>
    <row r="163">
      <c r="A163" s="16" t="s">
        <v>491</v>
      </c>
      <c r="B163" s="17">
        <v>0.985</v>
      </c>
    </row>
    <row r="164">
      <c r="A164" s="16" t="s">
        <v>494</v>
      </c>
      <c r="B164" s="17">
        <v>0.309</v>
      </c>
    </row>
    <row r="165">
      <c r="A165" s="16" t="s">
        <v>497</v>
      </c>
      <c r="B165" s="17">
        <v>0.336</v>
      </c>
    </row>
    <row r="166">
      <c r="A166" s="16" t="s">
        <v>500</v>
      </c>
      <c r="B166" s="17">
        <v>0.359</v>
      </c>
    </row>
    <row r="167">
      <c r="A167" s="16" t="s">
        <v>503</v>
      </c>
      <c r="B167" s="17">
        <v>0.982</v>
      </c>
    </row>
    <row r="168">
      <c r="A168" s="16" t="s">
        <v>506</v>
      </c>
      <c r="B168" s="17">
        <v>0.956</v>
      </c>
    </row>
    <row r="169">
      <c r="A169" s="16" t="s">
        <v>509</v>
      </c>
      <c r="B169" s="17">
        <v>0.257</v>
      </c>
    </row>
    <row r="170">
      <c r="A170" s="16" t="s">
        <v>512</v>
      </c>
      <c r="B170" s="17">
        <v>0.323</v>
      </c>
    </row>
    <row r="171">
      <c r="A171" s="16" t="s">
        <v>515</v>
      </c>
      <c r="B171" s="18" t="e">
        <v>#DIV/0!</v>
      </c>
    </row>
    <row r="172">
      <c r="A172" s="16" t="s">
        <v>518</v>
      </c>
      <c r="B172" s="17">
        <v>0.671</v>
      </c>
    </row>
    <row r="173">
      <c r="A173" s="16" t="s">
        <v>521</v>
      </c>
      <c r="B173" s="17">
        <v>0.851</v>
      </c>
    </row>
    <row r="174">
      <c r="A174" s="16" t="s">
        <v>524</v>
      </c>
      <c r="B174" s="17">
        <v>0.895</v>
      </c>
    </row>
    <row r="175">
      <c r="A175" s="16" t="s">
        <v>527</v>
      </c>
      <c r="B175" s="17">
        <v>0.286</v>
      </c>
    </row>
    <row r="176">
      <c r="A176" s="16" t="s">
        <v>530</v>
      </c>
      <c r="B176" s="17">
        <v>0.948</v>
      </c>
    </row>
    <row r="177">
      <c r="A177" s="16" t="s">
        <v>533</v>
      </c>
      <c r="B177" s="17">
        <v>0.826</v>
      </c>
    </row>
    <row r="178">
      <c r="A178" s="16" t="s">
        <v>536</v>
      </c>
      <c r="B178" s="17">
        <v>0.77</v>
      </c>
    </row>
    <row r="179">
      <c r="A179" s="16" t="s">
        <v>539</v>
      </c>
      <c r="B179" s="17">
        <v>0.496</v>
      </c>
    </row>
    <row r="180">
      <c r="A180" s="16" t="s">
        <v>542</v>
      </c>
      <c r="B180" s="17">
        <v>0.218</v>
      </c>
    </row>
    <row r="181">
      <c r="A181" s="16" t="s">
        <v>545</v>
      </c>
      <c r="B181" s="17">
        <v>0.251</v>
      </c>
    </row>
    <row r="182">
      <c r="A182" s="16" t="s">
        <v>548</v>
      </c>
      <c r="B182" s="17">
        <v>0.882</v>
      </c>
    </row>
    <row r="183">
      <c r="A183" s="16" t="s">
        <v>551</v>
      </c>
      <c r="B183" s="17">
        <v>0.656</v>
      </c>
    </row>
    <row r="184">
      <c r="A184" s="16" t="s">
        <v>554</v>
      </c>
      <c r="B184" s="17">
        <v>0.797</v>
      </c>
    </row>
    <row r="185">
      <c r="A185" s="16" t="s">
        <v>557</v>
      </c>
      <c r="B185" s="17">
        <v>0.68</v>
      </c>
    </row>
    <row r="186">
      <c r="A186" s="16" t="s">
        <v>560</v>
      </c>
      <c r="B186" s="17">
        <v>0.704</v>
      </c>
    </row>
    <row r="187">
      <c r="A187" s="16" t="s">
        <v>563</v>
      </c>
      <c r="B187" s="17">
        <v>0.352</v>
      </c>
    </row>
    <row r="188">
      <c r="A188" s="16" t="s">
        <v>566</v>
      </c>
      <c r="B188" s="17">
        <v>0.352</v>
      </c>
    </row>
    <row r="189">
      <c r="A189" s="16" t="s">
        <v>569</v>
      </c>
      <c r="B189" s="17">
        <v>0.81</v>
      </c>
    </row>
    <row r="190">
      <c r="A190" s="16" t="s">
        <v>572</v>
      </c>
      <c r="B190" s="17">
        <v>0.643</v>
      </c>
    </row>
    <row r="191">
      <c r="A191" s="16" t="s">
        <v>575</v>
      </c>
      <c r="B191" s="17">
        <v>0.879</v>
      </c>
    </row>
    <row r="192">
      <c r="A192" s="16" t="s">
        <v>578</v>
      </c>
      <c r="B192" s="17">
        <v>0.812</v>
      </c>
    </row>
    <row r="193">
      <c r="A193" s="16" t="s">
        <v>581</v>
      </c>
      <c r="B193" s="17">
        <v>0.135</v>
      </c>
    </row>
    <row r="194">
      <c r="A194" s="16" t="s">
        <v>584</v>
      </c>
      <c r="B194" s="17">
        <v>0.923</v>
      </c>
    </row>
    <row r="195">
      <c r="A195" s="16" t="s">
        <v>587</v>
      </c>
      <c r="B195" s="17">
        <v>0.888</v>
      </c>
    </row>
    <row r="196">
      <c r="A196" s="16" t="s">
        <v>590</v>
      </c>
      <c r="B196" s="17">
        <v>0.908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0</v>
      </c>
      <c r="B1" s="19" t="s">
        <v>1</v>
      </c>
      <c r="C1" s="19" t="s">
        <v>3</v>
      </c>
      <c r="D1" s="19" t="s">
        <v>2</v>
      </c>
      <c r="E1" s="19" t="s">
        <v>593</v>
      </c>
    </row>
    <row r="2">
      <c r="A2" s="20">
        <v>4.0</v>
      </c>
      <c r="B2" s="20" t="s">
        <v>7</v>
      </c>
      <c r="C2" s="20" t="s">
        <v>9</v>
      </c>
      <c r="D2" s="21" t="s">
        <v>8</v>
      </c>
      <c r="E2" s="20">
        <v>86.7</v>
      </c>
    </row>
    <row r="3">
      <c r="A3" s="20">
        <v>8.0</v>
      </c>
      <c r="B3" s="20" t="s">
        <v>10</v>
      </c>
      <c r="C3" s="20" t="s">
        <v>12</v>
      </c>
      <c r="D3" s="21" t="s">
        <v>11</v>
      </c>
      <c r="E3" s="20">
        <v>87.9</v>
      </c>
    </row>
    <row r="4">
      <c r="A4" s="20">
        <v>12.0</v>
      </c>
      <c r="B4" s="20" t="s">
        <v>13</v>
      </c>
      <c r="C4" s="20" t="s">
        <v>15</v>
      </c>
      <c r="D4" s="21" t="s">
        <v>14</v>
      </c>
      <c r="E4" s="20">
        <v>74.8</v>
      </c>
    </row>
    <row r="5">
      <c r="A5" s="20">
        <v>20.0</v>
      </c>
      <c r="B5" s="20" t="s">
        <v>16</v>
      </c>
      <c r="C5" s="20" t="s">
        <v>18</v>
      </c>
      <c r="D5" s="21" t="s">
        <v>17</v>
      </c>
      <c r="E5" s="20">
        <v>89.9</v>
      </c>
    </row>
    <row r="6">
      <c r="A6" s="20">
        <v>24.0</v>
      </c>
      <c r="B6" s="20" t="s">
        <v>19</v>
      </c>
      <c r="C6" s="20" t="s">
        <v>21</v>
      </c>
      <c r="D6" s="21" t="s">
        <v>20</v>
      </c>
      <c r="E6" s="20">
        <v>78.2</v>
      </c>
    </row>
    <row r="7">
      <c r="A7" s="20">
        <v>28.0</v>
      </c>
      <c r="B7" s="20" t="s">
        <v>22</v>
      </c>
      <c r="C7" s="20" t="s">
        <v>24</v>
      </c>
      <c r="D7" s="21" t="s">
        <v>23</v>
      </c>
      <c r="E7" s="20">
        <v>75.3</v>
      </c>
    </row>
    <row r="8">
      <c r="A8" s="20">
        <v>32.0</v>
      </c>
      <c r="B8" s="20" t="s">
        <v>25</v>
      </c>
      <c r="C8" s="20" t="s">
        <v>27</v>
      </c>
      <c r="D8" s="21" t="s">
        <v>26</v>
      </c>
      <c r="E8" s="20">
        <v>48.3</v>
      </c>
    </row>
    <row r="9">
      <c r="A9" s="20">
        <v>51.0</v>
      </c>
      <c r="B9" s="20" t="s">
        <v>28</v>
      </c>
      <c r="C9" s="20" t="s">
        <v>30</v>
      </c>
      <c r="D9" s="21" t="s">
        <v>29</v>
      </c>
      <c r="E9" s="20">
        <v>87.3</v>
      </c>
    </row>
    <row r="10">
      <c r="A10" s="20">
        <v>36.0</v>
      </c>
      <c r="B10" s="20" t="s">
        <v>31</v>
      </c>
      <c r="C10" s="20" t="s">
        <v>33</v>
      </c>
      <c r="D10" s="21" t="s">
        <v>32</v>
      </c>
      <c r="E10" s="20">
        <v>68.6</v>
      </c>
    </row>
    <row r="11">
      <c r="A11" s="20">
        <v>40.0</v>
      </c>
      <c r="B11" s="20" t="s">
        <v>34</v>
      </c>
      <c r="C11" s="20" t="s">
        <v>36</v>
      </c>
      <c r="D11" s="21" t="s">
        <v>35</v>
      </c>
      <c r="E11" s="20">
        <v>88.5</v>
      </c>
    </row>
    <row r="12">
      <c r="A12" s="20">
        <v>31.0</v>
      </c>
      <c r="B12" s="20" t="s">
        <v>37</v>
      </c>
      <c r="C12" s="20" t="s">
        <v>39</v>
      </c>
      <c r="D12" s="21" t="s">
        <v>38</v>
      </c>
      <c r="E12" s="20">
        <v>88.7</v>
      </c>
    </row>
    <row r="13">
      <c r="A13" s="20">
        <v>44.0</v>
      </c>
      <c r="B13" s="20" t="s">
        <v>40</v>
      </c>
      <c r="C13" s="20" t="s">
        <v>42</v>
      </c>
      <c r="D13" s="21" t="s">
        <v>41</v>
      </c>
      <c r="E13" s="20">
        <v>85.0</v>
      </c>
    </row>
    <row r="14">
      <c r="A14" s="20">
        <v>48.0</v>
      </c>
      <c r="B14" s="20" t="s">
        <v>43</v>
      </c>
      <c r="C14" s="20" t="s">
        <v>45</v>
      </c>
      <c r="D14" s="21" t="s">
        <v>44</v>
      </c>
      <c r="E14" s="20">
        <v>53.1</v>
      </c>
    </row>
    <row r="15">
      <c r="A15" s="20">
        <v>50.0</v>
      </c>
      <c r="B15" s="20" t="s">
        <v>46</v>
      </c>
      <c r="C15" s="20" t="s">
        <v>48</v>
      </c>
      <c r="D15" s="21" t="s">
        <v>47</v>
      </c>
      <c r="E15" s="20">
        <v>57.1</v>
      </c>
    </row>
    <row r="16">
      <c r="A16" s="20">
        <v>52.0</v>
      </c>
      <c r="B16" s="20" t="s">
        <v>49</v>
      </c>
      <c r="C16" s="20" t="s">
        <v>51</v>
      </c>
      <c r="D16" s="21" t="s">
        <v>50</v>
      </c>
      <c r="E16" s="20">
        <v>75.2</v>
      </c>
    </row>
    <row r="17">
      <c r="A17" s="20">
        <v>112.0</v>
      </c>
      <c r="B17" s="20" t="s">
        <v>52</v>
      </c>
      <c r="C17" s="20" t="s">
        <v>54</v>
      </c>
      <c r="D17" s="21" t="s">
        <v>53</v>
      </c>
      <c r="E17" s="20">
        <v>88.3</v>
      </c>
    </row>
    <row r="18">
      <c r="A18" s="20">
        <v>56.0</v>
      </c>
      <c r="B18" s="20" t="s">
        <v>55</v>
      </c>
      <c r="C18" s="20" t="s">
        <v>57</v>
      </c>
      <c r="D18" s="21" t="s">
        <v>56</v>
      </c>
      <c r="E18" s="20">
        <v>79.3</v>
      </c>
    </row>
    <row r="19">
      <c r="A19" s="20">
        <v>84.0</v>
      </c>
      <c r="B19" s="20" t="s">
        <v>58</v>
      </c>
      <c r="C19" s="20" t="s">
        <v>60</v>
      </c>
      <c r="D19" s="21" t="s">
        <v>59</v>
      </c>
      <c r="E19" s="20">
        <v>64.4</v>
      </c>
    </row>
    <row r="20">
      <c r="A20" s="20">
        <v>204.0</v>
      </c>
      <c r="B20" s="20" t="s">
        <v>61</v>
      </c>
      <c r="C20" s="20" t="s">
        <v>63</v>
      </c>
      <c r="D20" s="21" t="s">
        <v>62</v>
      </c>
      <c r="E20" s="20">
        <v>70.3</v>
      </c>
    </row>
    <row r="21">
      <c r="A21" s="20">
        <v>64.0</v>
      </c>
      <c r="B21" s="20" t="s">
        <v>64</v>
      </c>
      <c r="C21" s="20" t="s">
        <v>66</v>
      </c>
      <c r="D21" s="21" t="s">
        <v>65</v>
      </c>
      <c r="E21" s="20">
        <v>99.7</v>
      </c>
    </row>
    <row r="22">
      <c r="A22" s="20">
        <v>68.0</v>
      </c>
      <c r="B22" s="20" t="s">
        <v>67</v>
      </c>
      <c r="C22" s="20" t="s">
        <v>69</v>
      </c>
      <c r="D22" s="21" t="s">
        <v>68</v>
      </c>
      <c r="E22" s="20">
        <v>67.2</v>
      </c>
    </row>
    <row r="23">
      <c r="A23" s="20">
        <v>70.0</v>
      </c>
      <c r="B23" s="20" t="s">
        <v>70</v>
      </c>
      <c r="C23" s="20" t="s">
        <v>72</v>
      </c>
      <c r="D23" s="21" t="s">
        <v>71</v>
      </c>
      <c r="E23" s="20">
        <v>94.1</v>
      </c>
    </row>
    <row r="24">
      <c r="A24" s="20">
        <v>72.0</v>
      </c>
      <c r="B24" s="20" t="s">
        <v>73</v>
      </c>
      <c r="C24" s="20" t="s">
        <v>75</v>
      </c>
      <c r="D24" s="21" t="s">
        <v>74</v>
      </c>
      <c r="E24" s="20">
        <v>70.5</v>
      </c>
    </row>
    <row r="25">
      <c r="A25" s="20">
        <v>76.0</v>
      </c>
      <c r="B25" s="20" t="s">
        <v>76</v>
      </c>
      <c r="C25" s="20" t="s">
        <v>78</v>
      </c>
      <c r="D25" s="21" t="s">
        <v>77</v>
      </c>
      <c r="E25" s="20">
        <v>59.2</v>
      </c>
    </row>
    <row r="26">
      <c r="A26" s="20">
        <v>96.0</v>
      </c>
      <c r="B26" s="20" t="s">
        <v>79</v>
      </c>
      <c r="C26" s="20" t="s">
        <v>81</v>
      </c>
      <c r="D26" s="21" t="s">
        <v>80</v>
      </c>
      <c r="E26" s="20">
        <v>90.5</v>
      </c>
    </row>
    <row r="27">
      <c r="A27" s="20">
        <v>100.0</v>
      </c>
      <c r="B27" s="20" t="s">
        <v>82</v>
      </c>
      <c r="C27" s="20" t="s">
        <v>84</v>
      </c>
      <c r="D27" s="21" t="s">
        <v>83</v>
      </c>
      <c r="E27" s="20">
        <v>71.0</v>
      </c>
    </row>
    <row r="28">
      <c r="A28" s="20">
        <v>854.0</v>
      </c>
      <c r="B28" s="20" t="s">
        <v>85</v>
      </c>
      <c r="C28" s="20" t="s">
        <v>87</v>
      </c>
      <c r="D28" s="21" t="s">
        <v>86</v>
      </c>
      <c r="E28" s="20">
        <v>86.3</v>
      </c>
    </row>
    <row r="29">
      <c r="A29" s="20">
        <v>108.0</v>
      </c>
      <c r="B29" s="20" t="s">
        <v>88</v>
      </c>
      <c r="C29" s="20" t="s">
        <v>90</v>
      </c>
      <c r="D29" s="21" t="s">
        <v>89</v>
      </c>
      <c r="E29" s="20">
        <v>65.9</v>
      </c>
    </row>
    <row r="30">
      <c r="A30" s="20">
        <v>132.0</v>
      </c>
      <c r="B30" s="20" t="s">
        <v>91</v>
      </c>
      <c r="C30" s="20" t="s">
        <v>93</v>
      </c>
      <c r="D30" s="21" t="s">
        <v>92</v>
      </c>
      <c r="E30" s="20">
        <v>89.1</v>
      </c>
    </row>
    <row r="31">
      <c r="A31" s="20">
        <v>116.0</v>
      </c>
      <c r="B31" s="20" t="s">
        <v>94</v>
      </c>
      <c r="C31" s="20" t="s">
        <v>96</v>
      </c>
      <c r="D31" s="21" t="s">
        <v>95</v>
      </c>
      <c r="E31" s="20">
        <v>88.7</v>
      </c>
    </row>
    <row r="32">
      <c r="A32" s="20">
        <v>120.0</v>
      </c>
      <c r="B32" s="20" t="s">
        <v>97</v>
      </c>
      <c r="C32" s="20" t="s">
        <v>99</v>
      </c>
      <c r="D32" s="21" t="s">
        <v>98</v>
      </c>
      <c r="E32" s="20">
        <v>65.1</v>
      </c>
    </row>
    <row r="33">
      <c r="A33" s="20">
        <v>124.0</v>
      </c>
      <c r="B33" s="20" t="s">
        <v>100</v>
      </c>
      <c r="C33" s="20" t="s">
        <v>102</v>
      </c>
      <c r="D33" s="21" t="s">
        <v>101</v>
      </c>
      <c r="E33" s="20">
        <v>83.0</v>
      </c>
    </row>
    <row r="34">
      <c r="A34" s="20">
        <v>140.0</v>
      </c>
      <c r="B34" s="20" t="s">
        <v>103</v>
      </c>
      <c r="C34" s="20" t="s">
        <v>105</v>
      </c>
      <c r="D34" s="21" t="s">
        <v>104</v>
      </c>
      <c r="E34" s="20">
        <v>86.7</v>
      </c>
    </row>
    <row r="35">
      <c r="A35" s="20">
        <v>148.0</v>
      </c>
      <c r="B35" s="20" t="s">
        <v>106</v>
      </c>
      <c r="C35" s="20" t="s">
        <v>108</v>
      </c>
      <c r="D35" s="21" t="s">
        <v>107</v>
      </c>
      <c r="E35" s="20">
        <v>89.7</v>
      </c>
    </row>
    <row r="36">
      <c r="A36" s="20">
        <v>152.0</v>
      </c>
      <c r="B36" s="20" t="s">
        <v>109</v>
      </c>
      <c r="C36" s="20" t="s">
        <v>111</v>
      </c>
      <c r="D36" s="21" t="s">
        <v>110</v>
      </c>
      <c r="E36" s="20">
        <v>66.1</v>
      </c>
    </row>
    <row r="37">
      <c r="A37" s="20">
        <v>156.0</v>
      </c>
      <c r="B37" s="20" t="s">
        <v>112</v>
      </c>
      <c r="C37" s="20" t="s">
        <v>114</v>
      </c>
      <c r="D37" s="21" t="s">
        <v>113</v>
      </c>
      <c r="E37" s="20">
        <v>35.8</v>
      </c>
    </row>
    <row r="38">
      <c r="A38" s="20">
        <v>170.0</v>
      </c>
      <c r="B38" s="20" t="s">
        <v>115</v>
      </c>
      <c r="C38" s="20" t="s">
        <v>117</v>
      </c>
      <c r="D38" s="21" t="s">
        <v>116</v>
      </c>
      <c r="E38" s="20">
        <v>58.6</v>
      </c>
    </row>
    <row r="39">
      <c r="A39" s="20">
        <v>174.0</v>
      </c>
      <c r="B39" s="20" t="s">
        <v>118</v>
      </c>
      <c r="C39" s="20" t="s">
        <v>120</v>
      </c>
      <c r="D39" s="21" t="s">
        <v>119</v>
      </c>
      <c r="E39" s="20">
        <v>75.8</v>
      </c>
    </row>
    <row r="40">
      <c r="A40" s="20">
        <v>178.0</v>
      </c>
      <c r="B40" s="20" t="s">
        <v>121</v>
      </c>
      <c r="C40" s="20" t="s">
        <v>123</v>
      </c>
      <c r="D40" s="21" t="s">
        <v>122</v>
      </c>
      <c r="E40" s="20">
        <v>71.4</v>
      </c>
    </row>
    <row r="41">
      <c r="A41" s="20">
        <v>180.0</v>
      </c>
      <c r="B41" s="20" t="s">
        <v>124</v>
      </c>
      <c r="C41" s="20" t="s">
        <v>126</v>
      </c>
      <c r="D41" s="21" t="s">
        <v>125</v>
      </c>
      <c r="E41" s="20">
        <v>76.8</v>
      </c>
    </row>
    <row r="42">
      <c r="A42" s="20">
        <v>188.0</v>
      </c>
      <c r="B42" s="20" t="s">
        <v>127</v>
      </c>
      <c r="C42" s="20" t="s">
        <v>129</v>
      </c>
      <c r="D42" s="21" t="s">
        <v>128</v>
      </c>
      <c r="E42" s="20">
        <v>83.5</v>
      </c>
    </row>
    <row r="43">
      <c r="A43" s="20">
        <v>384.0</v>
      </c>
      <c r="B43" s="20" t="s">
        <v>130</v>
      </c>
      <c r="C43" s="20" t="s">
        <v>132</v>
      </c>
      <c r="D43" s="21" t="s">
        <v>131</v>
      </c>
      <c r="E43" s="20">
        <v>56.5</v>
      </c>
    </row>
    <row r="44">
      <c r="A44" s="20">
        <v>191.0</v>
      </c>
      <c r="B44" s="20" t="s">
        <v>133</v>
      </c>
      <c r="C44" s="20" t="s">
        <v>135</v>
      </c>
      <c r="D44" s="21" t="s">
        <v>134</v>
      </c>
      <c r="E44" s="20">
        <v>92.7</v>
      </c>
    </row>
    <row r="45">
      <c r="A45" s="20">
        <v>192.0</v>
      </c>
      <c r="B45" s="20" t="s">
        <v>136</v>
      </c>
      <c r="C45" s="20" t="s">
        <v>138</v>
      </c>
      <c r="D45" s="21" t="s">
        <v>137</v>
      </c>
      <c r="E45" s="20">
        <v>82.7</v>
      </c>
    </row>
    <row r="46">
      <c r="A46" s="20">
        <v>196.0</v>
      </c>
      <c r="B46" s="20" t="s">
        <v>139</v>
      </c>
      <c r="C46" s="20" t="s">
        <v>141</v>
      </c>
      <c r="D46" s="21" t="s">
        <v>140</v>
      </c>
      <c r="E46" s="20">
        <v>72.1</v>
      </c>
    </row>
    <row r="47">
      <c r="A47" s="20">
        <v>203.0</v>
      </c>
      <c r="B47" s="20" t="s">
        <v>142</v>
      </c>
      <c r="C47" s="20" t="s">
        <v>144</v>
      </c>
      <c r="D47" s="21" t="s">
        <v>143</v>
      </c>
      <c r="E47" s="20">
        <v>92.2</v>
      </c>
    </row>
    <row r="48">
      <c r="A48" s="20">
        <v>208.0</v>
      </c>
      <c r="B48" s="20" t="s">
        <v>145</v>
      </c>
      <c r="C48" s="20" t="s">
        <v>147</v>
      </c>
      <c r="D48" s="21" t="s">
        <v>146</v>
      </c>
      <c r="E48" s="20">
        <v>80.8</v>
      </c>
    </row>
    <row r="49">
      <c r="A49" s="20">
        <v>262.0</v>
      </c>
      <c r="B49" s="20" t="s">
        <v>148</v>
      </c>
      <c r="C49" s="20" t="s">
        <v>150</v>
      </c>
      <c r="D49" s="21" t="s">
        <v>149</v>
      </c>
      <c r="E49" s="20">
        <v>93.5</v>
      </c>
    </row>
    <row r="50">
      <c r="A50" s="20">
        <v>212.0</v>
      </c>
      <c r="B50" s="20" t="s">
        <v>151</v>
      </c>
      <c r="C50" s="20" t="s">
        <v>153</v>
      </c>
      <c r="D50" s="21" t="s">
        <v>152</v>
      </c>
      <c r="E50" s="20">
        <v>75.7</v>
      </c>
    </row>
    <row r="51">
      <c r="A51" s="20">
        <v>214.0</v>
      </c>
      <c r="B51" s="20" t="s">
        <v>154</v>
      </c>
      <c r="C51" s="20" t="s">
        <v>156</v>
      </c>
      <c r="D51" s="21" t="s">
        <v>155</v>
      </c>
      <c r="E51" s="20">
        <v>71.1</v>
      </c>
    </row>
    <row r="52">
      <c r="A52" s="20">
        <v>218.0</v>
      </c>
      <c r="B52" s="20" t="s">
        <v>157</v>
      </c>
      <c r="C52" s="20" t="s">
        <v>159</v>
      </c>
      <c r="D52" s="21" t="s">
        <v>158</v>
      </c>
      <c r="E52" s="20">
        <v>58.5</v>
      </c>
    </row>
    <row r="53">
      <c r="A53" s="20">
        <v>818.0</v>
      </c>
      <c r="B53" s="20" t="s">
        <v>160</v>
      </c>
      <c r="C53" s="20" t="s">
        <v>162</v>
      </c>
      <c r="D53" s="21" t="s">
        <v>161</v>
      </c>
      <c r="E53" s="20">
        <v>49.8</v>
      </c>
    </row>
    <row r="54">
      <c r="A54" s="20">
        <v>222.0</v>
      </c>
      <c r="B54" s="20" t="s">
        <v>163</v>
      </c>
      <c r="C54" s="20" t="s">
        <v>165</v>
      </c>
      <c r="D54" s="21" t="s">
        <v>164</v>
      </c>
      <c r="E54" s="20">
        <v>83.9</v>
      </c>
    </row>
    <row r="55">
      <c r="A55" s="20">
        <v>226.0</v>
      </c>
      <c r="B55" s="20" t="s">
        <v>166</v>
      </c>
      <c r="C55" s="20" t="s">
        <v>168</v>
      </c>
      <c r="D55" s="21" t="s">
        <v>167</v>
      </c>
      <c r="E55" s="20">
        <v>71.6</v>
      </c>
    </row>
    <row r="56">
      <c r="A56" s="20">
        <v>232.0</v>
      </c>
      <c r="B56" s="20" t="s">
        <v>169</v>
      </c>
      <c r="C56" s="20" t="s">
        <v>171</v>
      </c>
      <c r="D56" s="21" t="s">
        <v>170</v>
      </c>
      <c r="E56" s="20">
        <v>88.6</v>
      </c>
    </row>
    <row r="57">
      <c r="A57" s="20">
        <v>233.0</v>
      </c>
      <c r="B57" s="20" t="s">
        <v>172</v>
      </c>
      <c r="C57" s="20" t="s">
        <v>174</v>
      </c>
      <c r="D57" s="21" t="s">
        <v>173</v>
      </c>
      <c r="E57" s="20">
        <v>79.4</v>
      </c>
    </row>
    <row r="58">
      <c r="A58" s="20">
        <v>748.0</v>
      </c>
      <c r="B58" s="20" t="s">
        <v>175</v>
      </c>
      <c r="C58" s="20" t="s">
        <v>177</v>
      </c>
      <c r="D58" s="21" t="s">
        <v>176</v>
      </c>
      <c r="E58" s="20">
        <v>84.3</v>
      </c>
    </row>
    <row r="59">
      <c r="A59" s="20">
        <v>231.0</v>
      </c>
      <c r="B59" s="20" t="s">
        <v>178</v>
      </c>
      <c r="C59" s="20" t="s">
        <v>180</v>
      </c>
      <c r="D59" s="21" t="s">
        <v>179</v>
      </c>
      <c r="E59" s="20">
        <v>42.1</v>
      </c>
    </row>
    <row r="60">
      <c r="A60" s="20">
        <v>242.0</v>
      </c>
      <c r="B60" s="20" t="s">
        <v>181</v>
      </c>
      <c r="C60" s="20" t="s">
        <v>183</v>
      </c>
      <c r="D60" s="21" t="s">
        <v>182</v>
      </c>
      <c r="E60" s="20">
        <v>80.0</v>
      </c>
    </row>
    <row r="61">
      <c r="A61" s="20">
        <v>246.0</v>
      </c>
      <c r="B61" s="20" t="s">
        <v>184</v>
      </c>
      <c r="C61" s="20" t="s">
        <v>186</v>
      </c>
      <c r="D61" s="21" t="s">
        <v>185</v>
      </c>
      <c r="E61" s="20">
        <v>77.5</v>
      </c>
    </row>
    <row r="62">
      <c r="A62" s="20">
        <v>250.0</v>
      </c>
      <c r="B62" s="20" t="s">
        <v>187</v>
      </c>
      <c r="C62" s="20" t="s">
        <v>189</v>
      </c>
      <c r="D62" s="21" t="s">
        <v>188</v>
      </c>
      <c r="E62" s="20">
        <v>76.0</v>
      </c>
    </row>
    <row r="63">
      <c r="A63" s="20">
        <v>266.0</v>
      </c>
      <c r="B63" s="20" t="s">
        <v>190</v>
      </c>
      <c r="C63" s="20" t="s">
        <v>192</v>
      </c>
      <c r="D63" s="21" t="s">
        <v>191</v>
      </c>
      <c r="E63" s="20">
        <v>66.0</v>
      </c>
    </row>
    <row r="64">
      <c r="A64" s="20">
        <v>270.0</v>
      </c>
      <c r="B64" s="20" t="s">
        <v>193</v>
      </c>
      <c r="C64" s="20" t="s">
        <v>195</v>
      </c>
      <c r="D64" s="21" t="s">
        <v>194</v>
      </c>
      <c r="E64" s="20">
        <v>66.5</v>
      </c>
    </row>
    <row r="65">
      <c r="A65" s="20">
        <v>268.0</v>
      </c>
      <c r="B65" s="20" t="s">
        <v>196</v>
      </c>
      <c r="C65" s="20" t="s">
        <v>198</v>
      </c>
      <c r="D65" s="21" t="s">
        <v>197</v>
      </c>
      <c r="E65" s="20">
        <v>64.7</v>
      </c>
    </row>
    <row r="66">
      <c r="A66" s="20">
        <v>276.0</v>
      </c>
      <c r="B66" s="20" t="s">
        <v>199</v>
      </c>
      <c r="C66" s="20" t="s">
        <v>201</v>
      </c>
      <c r="D66" s="21" t="s">
        <v>200</v>
      </c>
      <c r="E66" s="20">
        <v>82.7</v>
      </c>
    </row>
    <row r="67">
      <c r="A67" s="20">
        <v>288.0</v>
      </c>
      <c r="B67" s="20" t="s">
        <v>202</v>
      </c>
      <c r="C67" s="20" t="s">
        <v>204</v>
      </c>
      <c r="D67" s="21" t="s">
        <v>203</v>
      </c>
      <c r="E67" s="20">
        <v>49.3</v>
      </c>
    </row>
    <row r="68">
      <c r="A68" s="20">
        <v>300.0</v>
      </c>
      <c r="B68" s="20" t="s">
        <v>205</v>
      </c>
      <c r="C68" s="20" t="s">
        <v>207</v>
      </c>
      <c r="D68" s="21" t="s">
        <v>206</v>
      </c>
      <c r="E68" s="20">
        <v>63.9</v>
      </c>
    </row>
    <row r="69">
      <c r="A69" s="20">
        <v>308.0</v>
      </c>
      <c r="B69" s="20" t="s">
        <v>208</v>
      </c>
      <c r="C69" s="20" t="s">
        <v>210</v>
      </c>
      <c r="D69" s="21" t="s">
        <v>209</v>
      </c>
      <c r="E69" s="20">
        <v>79.6</v>
      </c>
    </row>
    <row r="70">
      <c r="A70" s="20">
        <v>320.0</v>
      </c>
      <c r="B70" s="20" t="s">
        <v>211</v>
      </c>
      <c r="C70" s="20" t="s">
        <v>213</v>
      </c>
      <c r="D70" s="21" t="s">
        <v>212</v>
      </c>
      <c r="E70" s="20">
        <v>75.9</v>
      </c>
    </row>
    <row r="71">
      <c r="A71" s="20">
        <v>324.0</v>
      </c>
      <c r="B71" s="20" t="s">
        <v>214</v>
      </c>
      <c r="C71" s="20" t="s">
        <v>216</v>
      </c>
      <c r="D71" s="21" t="s">
        <v>215</v>
      </c>
      <c r="E71" s="20">
        <v>80.5</v>
      </c>
    </row>
    <row r="72">
      <c r="A72" s="20">
        <v>624.0</v>
      </c>
      <c r="B72" s="20" t="s">
        <v>217</v>
      </c>
      <c r="C72" s="20" t="s">
        <v>219</v>
      </c>
      <c r="D72" s="21" t="s">
        <v>218</v>
      </c>
      <c r="E72" s="20">
        <v>82.6</v>
      </c>
    </row>
    <row r="73">
      <c r="A73" s="20">
        <v>328.0</v>
      </c>
      <c r="B73" s="20" t="s">
        <v>220</v>
      </c>
      <c r="C73" s="20" t="s">
        <v>222</v>
      </c>
      <c r="D73" s="21" t="s">
        <v>221</v>
      </c>
      <c r="E73" s="20">
        <v>71.5</v>
      </c>
    </row>
    <row r="74">
      <c r="A74" s="20">
        <v>332.0</v>
      </c>
      <c r="B74" s="20" t="s">
        <v>223</v>
      </c>
      <c r="C74" s="20" t="s">
        <v>225</v>
      </c>
      <c r="D74" s="21" t="s">
        <v>224</v>
      </c>
      <c r="E74" s="20">
        <v>57.8</v>
      </c>
    </row>
    <row r="75">
      <c r="A75" s="20">
        <v>336.0</v>
      </c>
      <c r="B75" s="20" t="s">
        <v>226</v>
      </c>
      <c r="C75" s="20" t="s">
        <v>228</v>
      </c>
      <c r="D75" s="21" t="s">
        <v>227</v>
      </c>
      <c r="E75" s="22"/>
    </row>
    <row r="76">
      <c r="A76" s="20">
        <v>340.0</v>
      </c>
      <c r="B76" s="20" t="s">
        <v>229</v>
      </c>
      <c r="C76" s="20" t="s">
        <v>231</v>
      </c>
      <c r="D76" s="21" t="s">
        <v>230</v>
      </c>
      <c r="E76" s="20">
        <v>83.6</v>
      </c>
    </row>
    <row r="77">
      <c r="A77" s="20">
        <v>348.0</v>
      </c>
      <c r="B77" s="20" t="s">
        <v>232</v>
      </c>
      <c r="C77" s="20" t="s">
        <v>234</v>
      </c>
      <c r="D77" s="21" t="s">
        <v>233</v>
      </c>
      <c r="E77" s="20">
        <v>89.2</v>
      </c>
    </row>
    <row r="78">
      <c r="A78" s="20">
        <v>352.0</v>
      </c>
      <c r="B78" s="20" t="s">
        <v>235</v>
      </c>
      <c r="C78" s="20" t="s">
        <v>237</v>
      </c>
      <c r="D78" s="21" t="s">
        <v>236</v>
      </c>
      <c r="E78" s="20">
        <v>90.7</v>
      </c>
    </row>
    <row r="79">
      <c r="A79" s="20">
        <v>356.0</v>
      </c>
      <c r="B79" s="20" t="s">
        <v>238</v>
      </c>
      <c r="C79" s="20" t="s">
        <v>240</v>
      </c>
      <c r="D79" s="21" t="s">
        <v>239</v>
      </c>
      <c r="E79" s="20">
        <v>35.9</v>
      </c>
    </row>
    <row r="80">
      <c r="A80" s="20">
        <v>360.0</v>
      </c>
      <c r="B80" s="20" t="s">
        <v>241</v>
      </c>
      <c r="C80" s="20" t="s">
        <v>243</v>
      </c>
      <c r="D80" s="21" t="s">
        <v>242</v>
      </c>
      <c r="E80" s="20">
        <v>60.9</v>
      </c>
    </row>
    <row r="81">
      <c r="A81" s="20">
        <v>364.0</v>
      </c>
      <c r="B81" s="20" t="s">
        <v>244</v>
      </c>
      <c r="C81" s="20" t="s">
        <v>246</v>
      </c>
      <c r="D81" s="21" t="s">
        <v>245</v>
      </c>
      <c r="E81" s="20">
        <v>68.0</v>
      </c>
    </row>
    <row r="82">
      <c r="A82" s="20">
        <v>368.0</v>
      </c>
      <c r="B82" s="20" t="s">
        <v>247</v>
      </c>
      <c r="C82" s="20" t="s">
        <v>249</v>
      </c>
      <c r="D82" s="21" t="s">
        <v>248</v>
      </c>
      <c r="E82" s="20">
        <v>73.8</v>
      </c>
    </row>
    <row r="83">
      <c r="A83" s="20">
        <v>372.0</v>
      </c>
      <c r="B83" s="20" t="s">
        <v>250</v>
      </c>
      <c r="C83" s="20" t="s">
        <v>252</v>
      </c>
      <c r="D83" s="21" t="s">
        <v>251</v>
      </c>
      <c r="E83" s="20">
        <v>81.8</v>
      </c>
    </row>
    <row r="84">
      <c r="A84" s="20">
        <v>376.0</v>
      </c>
      <c r="B84" s="20" t="s">
        <v>253</v>
      </c>
      <c r="C84" s="20" t="s">
        <v>255</v>
      </c>
      <c r="D84" s="21" t="s">
        <v>254</v>
      </c>
      <c r="E84" s="20">
        <v>72.3</v>
      </c>
    </row>
    <row r="85">
      <c r="A85" s="20">
        <v>380.0</v>
      </c>
      <c r="B85" s="20" t="s">
        <v>256</v>
      </c>
      <c r="C85" s="20" t="s">
        <v>258</v>
      </c>
      <c r="D85" s="21" t="s">
        <v>257</v>
      </c>
      <c r="E85" s="20">
        <v>72.6</v>
      </c>
    </row>
    <row r="86">
      <c r="A86" s="20">
        <v>388.0</v>
      </c>
      <c r="B86" s="20" t="s">
        <v>259</v>
      </c>
      <c r="C86" s="20" t="s">
        <v>261</v>
      </c>
      <c r="D86" s="21" t="s">
        <v>260</v>
      </c>
      <c r="E86" s="20">
        <v>73.4</v>
      </c>
    </row>
    <row r="87">
      <c r="A87" s="20">
        <v>392.0</v>
      </c>
      <c r="B87" s="20" t="s">
        <v>262</v>
      </c>
      <c r="C87" s="20" t="s">
        <v>264</v>
      </c>
      <c r="D87" s="21" t="s">
        <v>263</v>
      </c>
      <c r="E87" s="20">
        <v>54.6</v>
      </c>
    </row>
    <row r="88">
      <c r="A88" s="20">
        <v>400.0</v>
      </c>
      <c r="B88" s="20" t="s">
        <v>265</v>
      </c>
      <c r="C88" s="20" t="s">
        <v>267</v>
      </c>
      <c r="D88" s="21" t="s">
        <v>266</v>
      </c>
      <c r="E88" s="20">
        <v>79.1</v>
      </c>
    </row>
    <row r="89">
      <c r="A89" s="20">
        <v>398.0</v>
      </c>
      <c r="B89" s="20" t="s">
        <v>268</v>
      </c>
      <c r="C89" s="20" t="s">
        <v>270</v>
      </c>
      <c r="D89" s="21" t="s">
        <v>269</v>
      </c>
      <c r="E89" s="20">
        <v>74.2</v>
      </c>
    </row>
    <row r="90">
      <c r="A90" s="20">
        <v>404.0</v>
      </c>
      <c r="B90" s="20" t="s">
        <v>271</v>
      </c>
      <c r="C90" s="20" t="s">
        <v>273</v>
      </c>
      <c r="D90" s="21" t="s">
        <v>272</v>
      </c>
      <c r="E90" s="20">
        <v>48.3</v>
      </c>
    </row>
    <row r="91">
      <c r="A91" s="20">
        <v>296.0</v>
      </c>
      <c r="B91" s="20" t="s">
        <v>274</v>
      </c>
      <c r="C91" s="20" t="s">
        <v>276</v>
      </c>
      <c r="D91" s="21" t="s">
        <v>275</v>
      </c>
      <c r="E91" s="20">
        <v>89.7</v>
      </c>
    </row>
    <row r="92">
      <c r="A92" s="20">
        <v>408.0</v>
      </c>
      <c r="B92" s="20" t="s">
        <v>277</v>
      </c>
      <c r="C92" s="20" t="s">
        <v>279</v>
      </c>
      <c r="D92" s="21" t="s">
        <v>278</v>
      </c>
      <c r="E92" s="20">
        <v>94.2</v>
      </c>
    </row>
    <row r="93">
      <c r="A93" s="20">
        <v>410.0</v>
      </c>
      <c r="B93" s="20" t="s">
        <v>280</v>
      </c>
      <c r="C93" s="20" t="s">
        <v>282</v>
      </c>
      <c r="D93" s="21" t="s">
        <v>281</v>
      </c>
      <c r="E93" s="20">
        <v>50.3</v>
      </c>
    </row>
    <row r="94">
      <c r="A94" s="20">
        <v>414.0</v>
      </c>
      <c r="B94" s="20" t="s">
        <v>283</v>
      </c>
      <c r="C94" s="20" t="s">
        <v>285</v>
      </c>
      <c r="D94" s="21" t="s">
        <v>284</v>
      </c>
      <c r="E94" s="20">
        <v>50.2</v>
      </c>
    </row>
    <row r="95">
      <c r="A95" s="20">
        <v>417.0</v>
      </c>
      <c r="B95" s="20" t="s">
        <v>286</v>
      </c>
      <c r="C95" s="20" t="s">
        <v>288</v>
      </c>
      <c r="D95" s="21" t="s">
        <v>287</v>
      </c>
      <c r="E95" s="20">
        <v>55.1</v>
      </c>
    </row>
    <row r="96">
      <c r="A96" s="20">
        <v>418.0</v>
      </c>
      <c r="B96" s="20" t="s">
        <v>289</v>
      </c>
      <c r="C96" s="20" t="s">
        <v>291</v>
      </c>
      <c r="D96" s="21" t="s">
        <v>290</v>
      </c>
      <c r="E96" s="20">
        <v>94.2</v>
      </c>
    </row>
    <row r="97">
      <c r="A97" s="20">
        <v>428.0</v>
      </c>
      <c r="B97" s="20" t="s">
        <v>292</v>
      </c>
      <c r="C97" s="20" t="s">
        <v>294</v>
      </c>
      <c r="D97" s="21" t="s">
        <v>293</v>
      </c>
      <c r="E97" s="20">
        <v>76.0</v>
      </c>
    </row>
    <row r="98">
      <c r="A98" s="20">
        <v>422.0</v>
      </c>
      <c r="B98" s="20" t="s">
        <v>295</v>
      </c>
      <c r="C98" s="20" t="s">
        <v>297</v>
      </c>
      <c r="D98" s="21" t="s">
        <v>296</v>
      </c>
      <c r="E98" s="20">
        <v>71.3</v>
      </c>
    </row>
    <row r="99">
      <c r="A99" s="20">
        <v>426.0</v>
      </c>
      <c r="B99" s="20" t="s">
        <v>298</v>
      </c>
      <c r="C99" s="20" t="s">
        <v>300</v>
      </c>
      <c r="D99" s="21" t="s">
        <v>299</v>
      </c>
      <c r="E99" s="20">
        <v>86.9</v>
      </c>
    </row>
    <row r="100">
      <c r="A100" s="20">
        <v>430.0</v>
      </c>
      <c r="B100" s="20" t="s">
        <v>301</v>
      </c>
      <c r="C100" s="20" t="s">
        <v>303</v>
      </c>
      <c r="D100" s="21" t="s">
        <v>302</v>
      </c>
      <c r="E100" s="20">
        <v>68.9</v>
      </c>
    </row>
    <row r="101">
      <c r="A101" s="20">
        <v>434.0</v>
      </c>
      <c r="B101" s="20" t="s">
        <v>304</v>
      </c>
      <c r="C101" s="20" t="s">
        <v>306</v>
      </c>
      <c r="D101" s="21" t="s">
        <v>305</v>
      </c>
      <c r="E101" s="20">
        <v>80.6</v>
      </c>
    </row>
    <row r="102">
      <c r="A102" s="20">
        <v>440.0</v>
      </c>
      <c r="B102" s="20" t="s">
        <v>307</v>
      </c>
      <c r="C102" s="20" t="s">
        <v>309</v>
      </c>
      <c r="D102" s="21" t="s">
        <v>308</v>
      </c>
      <c r="E102" s="20">
        <v>75.6</v>
      </c>
    </row>
    <row r="103">
      <c r="A103" s="20">
        <v>442.0</v>
      </c>
      <c r="B103" s="20" t="s">
        <v>310</v>
      </c>
      <c r="C103" s="20" t="s">
        <v>312</v>
      </c>
      <c r="D103" s="21" t="s">
        <v>311</v>
      </c>
      <c r="E103" s="20">
        <v>93.3</v>
      </c>
    </row>
    <row r="104">
      <c r="A104" s="20">
        <v>450.0</v>
      </c>
      <c r="B104" s="20" t="s">
        <v>313</v>
      </c>
      <c r="C104" s="20" t="s">
        <v>315</v>
      </c>
      <c r="D104" s="21" t="s">
        <v>314</v>
      </c>
      <c r="E104" s="20">
        <v>52.4</v>
      </c>
    </row>
    <row r="105">
      <c r="A105" s="20">
        <v>454.0</v>
      </c>
      <c r="B105" s="20" t="s">
        <v>316</v>
      </c>
      <c r="C105" s="20" t="s">
        <v>318</v>
      </c>
      <c r="D105" s="21" t="s">
        <v>317</v>
      </c>
      <c r="E105" s="20">
        <v>56.8</v>
      </c>
    </row>
    <row r="106">
      <c r="A106" s="20">
        <v>458.0</v>
      </c>
      <c r="B106" s="20" t="s">
        <v>319</v>
      </c>
      <c r="C106" s="20" t="s">
        <v>321</v>
      </c>
      <c r="D106" s="21" t="s">
        <v>320</v>
      </c>
      <c r="E106" s="20">
        <v>55.1</v>
      </c>
    </row>
    <row r="107">
      <c r="A107" s="20">
        <v>462.0</v>
      </c>
      <c r="B107" s="20" t="s">
        <v>322</v>
      </c>
      <c r="C107" s="20" t="s">
        <v>324</v>
      </c>
      <c r="D107" s="21" t="s">
        <v>323</v>
      </c>
      <c r="E107" s="20">
        <v>69.1</v>
      </c>
    </row>
    <row r="108">
      <c r="A108" s="20">
        <v>466.0</v>
      </c>
      <c r="B108" s="20" t="s">
        <v>325</v>
      </c>
      <c r="C108" s="20" t="s">
        <v>327</v>
      </c>
      <c r="D108" s="21" t="s">
        <v>326</v>
      </c>
      <c r="E108" s="20">
        <v>81.7</v>
      </c>
    </row>
    <row r="109">
      <c r="A109" s="20">
        <v>470.0</v>
      </c>
      <c r="B109" s="20" t="s">
        <v>328</v>
      </c>
      <c r="C109" s="20" t="s">
        <v>330</v>
      </c>
      <c r="D109" s="21" t="s">
        <v>329</v>
      </c>
      <c r="E109" s="20">
        <v>53.9</v>
      </c>
    </row>
    <row r="110">
      <c r="A110" s="20">
        <v>584.0</v>
      </c>
      <c r="B110" s="20" t="s">
        <v>331</v>
      </c>
      <c r="C110" s="20" t="s">
        <v>333</v>
      </c>
      <c r="D110" s="21" t="s">
        <v>332</v>
      </c>
      <c r="E110" s="20">
        <v>53.0</v>
      </c>
    </row>
    <row r="111">
      <c r="A111" s="20">
        <v>478.0</v>
      </c>
      <c r="B111" s="20" t="s">
        <v>334</v>
      </c>
      <c r="C111" s="20" t="s">
        <v>336</v>
      </c>
      <c r="D111" s="21" t="s">
        <v>335</v>
      </c>
      <c r="E111" s="20">
        <v>57.8</v>
      </c>
    </row>
    <row r="112">
      <c r="A112" s="20">
        <v>480.0</v>
      </c>
      <c r="B112" s="20" t="s">
        <v>337</v>
      </c>
      <c r="C112" s="20" t="s">
        <v>339</v>
      </c>
      <c r="D112" s="21" t="s">
        <v>338</v>
      </c>
      <c r="E112" s="20">
        <v>68.0</v>
      </c>
    </row>
    <row r="113">
      <c r="A113" s="20">
        <v>484.0</v>
      </c>
      <c r="B113" s="20" t="s">
        <v>340</v>
      </c>
      <c r="C113" s="20" t="s">
        <v>342</v>
      </c>
      <c r="D113" s="21" t="s">
        <v>341</v>
      </c>
      <c r="E113" s="20">
        <v>88.8</v>
      </c>
    </row>
    <row r="114">
      <c r="A114" s="20">
        <v>583.0</v>
      </c>
      <c r="B114" s="20" t="s">
        <v>343</v>
      </c>
      <c r="C114" s="20" t="s">
        <v>345</v>
      </c>
      <c r="D114" s="21" t="s">
        <v>344</v>
      </c>
      <c r="E114" s="20">
        <v>87.6</v>
      </c>
    </row>
    <row r="115">
      <c r="A115" s="20">
        <v>498.0</v>
      </c>
      <c r="B115" s="20" t="s">
        <v>346</v>
      </c>
      <c r="C115" s="20" t="s">
        <v>348</v>
      </c>
      <c r="D115" s="21" t="s">
        <v>347</v>
      </c>
      <c r="E115" s="20">
        <v>87.7</v>
      </c>
    </row>
    <row r="116">
      <c r="A116" s="20">
        <v>492.0</v>
      </c>
      <c r="B116" s="20" t="s">
        <v>349</v>
      </c>
      <c r="C116" s="20" t="s">
        <v>351</v>
      </c>
      <c r="D116" s="21" t="s">
        <v>350</v>
      </c>
      <c r="E116" s="22"/>
    </row>
    <row r="117">
      <c r="A117" s="20">
        <v>496.0</v>
      </c>
      <c r="B117" s="20" t="s">
        <v>352</v>
      </c>
      <c r="C117" s="20" t="s">
        <v>354</v>
      </c>
      <c r="D117" s="21" t="s">
        <v>353</v>
      </c>
      <c r="E117" s="20">
        <v>98.6</v>
      </c>
    </row>
    <row r="118">
      <c r="A118" s="20">
        <v>499.0</v>
      </c>
      <c r="B118" s="20" t="s">
        <v>355</v>
      </c>
      <c r="C118" s="20" t="s">
        <v>357</v>
      </c>
      <c r="D118" s="21" t="s">
        <v>356</v>
      </c>
      <c r="E118" s="20">
        <v>94.1</v>
      </c>
    </row>
    <row r="119">
      <c r="A119" s="20">
        <v>504.0</v>
      </c>
      <c r="B119" s="20" t="s">
        <v>358</v>
      </c>
      <c r="C119" s="20" t="s">
        <v>360</v>
      </c>
      <c r="D119" s="21" t="s">
        <v>359</v>
      </c>
      <c r="E119" s="20">
        <v>70.1</v>
      </c>
    </row>
    <row r="120">
      <c r="A120" s="20">
        <v>508.0</v>
      </c>
      <c r="B120" s="20" t="s">
        <v>361</v>
      </c>
      <c r="C120" s="20" t="s">
        <v>363</v>
      </c>
      <c r="D120" s="21" t="s">
        <v>362</v>
      </c>
      <c r="E120" s="20">
        <v>52.6</v>
      </c>
    </row>
    <row r="121">
      <c r="A121" s="20">
        <v>104.0</v>
      </c>
      <c r="B121" s="20" t="s">
        <v>364</v>
      </c>
      <c r="C121" s="20" t="s">
        <v>366</v>
      </c>
      <c r="D121" s="21" t="s">
        <v>365</v>
      </c>
      <c r="E121" s="20">
        <v>90.0</v>
      </c>
    </row>
    <row r="122">
      <c r="A122" s="20">
        <v>516.0</v>
      </c>
      <c r="B122" s="20" t="s">
        <v>367</v>
      </c>
      <c r="C122" s="20" t="s">
        <v>369</v>
      </c>
      <c r="D122" s="21" t="s">
        <v>368</v>
      </c>
      <c r="E122" s="20">
        <v>73.8</v>
      </c>
    </row>
    <row r="123">
      <c r="A123" s="20">
        <v>520.0</v>
      </c>
      <c r="B123" s="20" t="s">
        <v>370</v>
      </c>
      <c r="C123" s="20" t="s">
        <v>372</v>
      </c>
      <c r="D123" s="21" t="s">
        <v>371</v>
      </c>
      <c r="E123" s="20">
        <v>92.5</v>
      </c>
    </row>
    <row r="124">
      <c r="A124" s="20">
        <v>524.0</v>
      </c>
      <c r="B124" s="20" t="s">
        <v>373</v>
      </c>
      <c r="C124" s="20" t="s">
        <v>375</v>
      </c>
      <c r="D124" s="21" t="s">
        <v>374</v>
      </c>
      <c r="E124" s="20">
        <v>96.1</v>
      </c>
    </row>
    <row r="125">
      <c r="A125" s="20">
        <v>528.0</v>
      </c>
      <c r="B125" s="20" t="s">
        <v>376</v>
      </c>
      <c r="C125" s="20" t="s">
        <v>378</v>
      </c>
      <c r="D125" s="21" t="s">
        <v>377</v>
      </c>
      <c r="E125" s="20">
        <v>83.9</v>
      </c>
    </row>
    <row r="126">
      <c r="A126" s="20">
        <v>554.0</v>
      </c>
      <c r="B126" s="20" t="s">
        <v>379</v>
      </c>
      <c r="C126" s="20" t="s">
        <v>381</v>
      </c>
      <c r="D126" s="21" t="s">
        <v>380</v>
      </c>
      <c r="E126" s="20">
        <v>54.9</v>
      </c>
    </row>
    <row r="127">
      <c r="A127" s="20">
        <v>558.0</v>
      </c>
      <c r="B127" s="20" t="s">
        <v>382</v>
      </c>
      <c r="C127" s="20" t="s">
        <v>384</v>
      </c>
      <c r="D127" s="21" t="s">
        <v>383</v>
      </c>
      <c r="E127" s="20">
        <v>79.7</v>
      </c>
    </row>
    <row r="128">
      <c r="A128" s="20">
        <v>562.0</v>
      </c>
      <c r="B128" s="20" t="s">
        <v>385</v>
      </c>
      <c r="C128" s="20" t="s">
        <v>387</v>
      </c>
      <c r="D128" s="21" t="s">
        <v>386</v>
      </c>
      <c r="E128" s="20">
        <v>79.6</v>
      </c>
    </row>
    <row r="129">
      <c r="A129" s="20">
        <v>566.0</v>
      </c>
      <c r="B129" s="20" t="s">
        <v>388</v>
      </c>
      <c r="C129" s="20" t="s">
        <v>390</v>
      </c>
      <c r="D129" s="21" t="s">
        <v>389</v>
      </c>
      <c r="E129" s="20">
        <v>56.9</v>
      </c>
    </row>
    <row r="130">
      <c r="A130" s="20">
        <v>807.0</v>
      </c>
      <c r="B130" s="20" t="s">
        <v>391</v>
      </c>
      <c r="C130" s="20" t="s">
        <v>393</v>
      </c>
      <c r="D130" s="21" t="s">
        <v>392</v>
      </c>
      <c r="E130" s="20">
        <v>85.8</v>
      </c>
    </row>
    <row r="131">
      <c r="A131" s="20">
        <v>578.0</v>
      </c>
      <c r="B131" s="20" t="s">
        <v>394</v>
      </c>
      <c r="C131" s="20" t="s">
        <v>396</v>
      </c>
      <c r="D131" s="21" t="s">
        <v>395</v>
      </c>
      <c r="E131" s="20">
        <v>94.4</v>
      </c>
    </row>
    <row r="132">
      <c r="A132" s="20">
        <v>512.0</v>
      </c>
      <c r="B132" s="20" t="s">
        <v>397</v>
      </c>
      <c r="C132" s="20" t="s">
        <v>399</v>
      </c>
      <c r="D132" s="21" t="s">
        <v>398</v>
      </c>
      <c r="E132" s="20">
        <v>62.8</v>
      </c>
    </row>
    <row r="133">
      <c r="A133" s="20">
        <v>586.0</v>
      </c>
      <c r="B133" s="20" t="s">
        <v>400</v>
      </c>
      <c r="C133" s="20" t="s">
        <v>402</v>
      </c>
      <c r="D133" s="21" t="s">
        <v>401</v>
      </c>
      <c r="E133" s="20">
        <v>40.9</v>
      </c>
    </row>
    <row r="134">
      <c r="A134" s="20">
        <v>585.0</v>
      </c>
      <c r="B134" s="20" t="s">
        <v>403</v>
      </c>
      <c r="C134" s="20" t="s">
        <v>405</v>
      </c>
      <c r="D134" s="21" t="s">
        <v>404</v>
      </c>
      <c r="E134" s="20">
        <v>94.1</v>
      </c>
    </row>
    <row r="135">
      <c r="A135" s="20">
        <v>591.0</v>
      </c>
      <c r="B135" s="20" t="s">
        <v>406</v>
      </c>
      <c r="C135" s="20" t="s">
        <v>408</v>
      </c>
      <c r="D135" s="21" t="s">
        <v>407</v>
      </c>
      <c r="E135" s="20">
        <v>55.5</v>
      </c>
    </row>
    <row r="136">
      <c r="A136" s="20">
        <v>598.0</v>
      </c>
      <c r="B136" s="20" t="s">
        <v>409</v>
      </c>
      <c r="C136" s="20" t="s">
        <v>411</v>
      </c>
      <c r="D136" s="21" t="s">
        <v>410</v>
      </c>
      <c r="E136" s="20">
        <v>67.8</v>
      </c>
    </row>
    <row r="137">
      <c r="A137" s="20">
        <v>600.0</v>
      </c>
      <c r="B137" s="20" t="s">
        <v>412</v>
      </c>
      <c r="C137" s="20" t="s">
        <v>414</v>
      </c>
      <c r="D137" s="21" t="s">
        <v>413</v>
      </c>
      <c r="E137" s="20">
        <v>84.8</v>
      </c>
    </row>
    <row r="138">
      <c r="A138" s="20">
        <v>604.0</v>
      </c>
      <c r="B138" s="20" t="s">
        <v>415</v>
      </c>
      <c r="C138" s="20" t="s">
        <v>417</v>
      </c>
      <c r="D138" s="21" t="s">
        <v>416</v>
      </c>
      <c r="E138" s="20">
        <v>61.4</v>
      </c>
    </row>
    <row r="139">
      <c r="A139" s="20">
        <v>608.0</v>
      </c>
      <c r="B139" s="20" t="s">
        <v>418</v>
      </c>
      <c r="C139" s="20" t="s">
        <v>420</v>
      </c>
      <c r="D139" s="21" t="s">
        <v>419</v>
      </c>
      <c r="E139" s="20">
        <v>60.5</v>
      </c>
    </row>
    <row r="140">
      <c r="A140" s="20">
        <v>616.0</v>
      </c>
      <c r="B140" s="20" t="s">
        <v>421</v>
      </c>
      <c r="C140" s="20" t="s">
        <v>423</v>
      </c>
      <c r="D140" s="21" t="s">
        <v>422</v>
      </c>
      <c r="E140" s="20">
        <v>85.7</v>
      </c>
    </row>
    <row r="141">
      <c r="A141" s="20">
        <v>620.0</v>
      </c>
      <c r="B141" s="20" t="s">
        <v>424</v>
      </c>
      <c r="C141" s="20" t="s">
        <v>426</v>
      </c>
      <c r="D141" s="21" t="s">
        <v>425</v>
      </c>
      <c r="E141" s="20">
        <v>80.1</v>
      </c>
    </row>
    <row r="142">
      <c r="A142" s="20">
        <v>634.0</v>
      </c>
      <c r="B142" s="20" t="s">
        <v>427</v>
      </c>
      <c r="C142" s="20" t="s">
        <v>429</v>
      </c>
      <c r="D142" s="21" t="s">
        <v>428</v>
      </c>
      <c r="E142" s="20">
        <v>49.5</v>
      </c>
    </row>
    <row r="143">
      <c r="A143" s="20">
        <v>642.0</v>
      </c>
      <c r="B143" s="20" t="s">
        <v>430</v>
      </c>
      <c r="C143" s="20" t="s">
        <v>432</v>
      </c>
      <c r="D143" s="21" t="s">
        <v>431</v>
      </c>
      <c r="E143" s="20">
        <v>69.4</v>
      </c>
    </row>
    <row r="144">
      <c r="A144" s="20">
        <v>643.0</v>
      </c>
      <c r="B144" s="20" t="s">
        <v>433</v>
      </c>
      <c r="C144" s="20" t="s">
        <v>435</v>
      </c>
      <c r="D144" s="21" t="s">
        <v>434</v>
      </c>
      <c r="E144" s="20">
        <v>63.8</v>
      </c>
    </row>
    <row r="145">
      <c r="A145" s="20">
        <v>646.0</v>
      </c>
      <c r="B145" s="20" t="s">
        <v>436</v>
      </c>
      <c r="C145" s="20" t="s">
        <v>438</v>
      </c>
      <c r="D145" s="21" t="s">
        <v>437</v>
      </c>
      <c r="E145" s="20">
        <v>67.3</v>
      </c>
    </row>
    <row r="146">
      <c r="A146" s="20">
        <v>659.0</v>
      </c>
      <c r="B146" s="20" t="s">
        <v>439</v>
      </c>
      <c r="C146" s="20" t="s">
        <v>441</v>
      </c>
      <c r="D146" s="21" t="s">
        <v>440</v>
      </c>
      <c r="E146" s="20">
        <v>83.7</v>
      </c>
    </row>
    <row r="147">
      <c r="A147" s="20">
        <v>662.0</v>
      </c>
      <c r="B147" s="20" t="s">
        <v>442</v>
      </c>
      <c r="C147" s="20" t="s">
        <v>444</v>
      </c>
      <c r="D147" s="21" t="s">
        <v>443</v>
      </c>
      <c r="E147" s="20">
        <v>72.4</v>
      </c>
    </row>
    <row r="148">
      <c r="A148" s="20">
        <v>670.0</v>
      </c>
      <c r="B148" s="20" t="s">
        <v>445</v>
      </c>
      <c r="C148" s="20" t="s">
        <v>447</v>
      </c>
      <c r="D148" s="21" t="s">
        <v>446</v>
      </c>
      <c r="E148" s="20">
        <v>92.1</v>
      </c>
    </row>
    <row r="149">
      <c r="A149" s="20">
        <v>882.0</v>
      </c>
      <c r="B149" s="20" t="s">
        <v>448</v>
      </c>
      <c r="C149" s="20" t="s">
        <v>450</v>
      </c>
      <c r="D149" s="21" t="s">
        <v>449</v>
      </c>
      <c r="E149" s="20">
        <v>77.9</v>
      </c>
    </row>
    <row r="150">
      <c r="A150" s="20">
        <v>674.0</v>
      </c>
      <c r="B150" s="20" t="s">
        <v>451</v>
      </c>
      <c r="C150" s="20" t="s">
        <v>453</v>
      </c>
      <c r="D150" s="21" t="s">
        <v>452</v>
      </c>
      <c r="E150" s="22"/>
    </row>
    <row r="151">
      <c r="A151" s="20">
        <v>678.0</v>
      </c>
      <c r="B151" s="20" t="s">
        <v>454</v>
      </c>
      <c r="C151" s="20" t="s">
        <v>456</v>
      </c>
      <c r="D151" s="21" t="s">
        <v>455</v>
      </c>
      <c r="E151" s="20">
        <v>96.1</v>
      </c>
    </row>
    <row r="152">
      <c r="A152" s="20">
        <v>682.0</v>
      </c>
      <c r="B152" s="20" t="s">
        <v>457</v>
      </c>
      <c r="C152" s="20" t="s">
        <v>459</v>
      </c>
      <c r="D152" s="21" t="s">
        <v>458</v>
      </c>
      <c r="E152" s="20">
        <v>47.6</v>
      </c>
    </row>
    <row r="153">
      <c r="A153" s="20">
        <v>686.0</v>
      </c>
      <c r="B153" s="20" t="s">
        <v>460</v>
      </c>
      <c r="C153" s="20" t="s">
        <v>462</v>
      </c>
      <c r="D153" s="21" t="s">
        <v>461</v>
      </c>
      <c r="E153" s="20">
        <v>66.3</v>
      </c>
    </row>
    <row r="154">
      <c r="A154" s="20">
        <v>688.0</v>
      </c>
      <c r="B154" s="20" t="s">
        <v>463</v>
      </c>
      <c r="C154" s="20" t="s">
        <v>465</v>
      </c>
      <c r="D154" s="21" t="s">
        <v>464</v>
      </c>
      <c r="E154" s="20">
        <v>81.5</v>
      </c>
    </row>
    <row r="155">
      <c r="A155" s="20">
        <v>690.0</v>
      </c>
      <c r="B155" s="20" t="s">
        <v>466</v>
      </c>
      <c r="C155" s="20" t="s">
        <v>468</v>
      </c>
      <c r="D155" s="21" t="s">
        <v>467</v>
      </c>
      <c r="E155" s="20">
        <v>70.8</v>
      </c>
    </row>
    <row r="156">
      <c r="A156" s="20">
        <v>694.0</v>
      </c>
      <c r="B156" s="20" t="s">
        <v>469</v>
      </c>
      <c r="C156" s="20" t="s">
        <v>471</v>
      </c>
      <c r="D156" s="21" t="s">
        <v>470</v>
      </c>
      <c r="E156" s="20">
        <v>81.6</v>
      </c>
    </row>
    <row r="157">
      <c r="A157" s="20">
        <v>702.0</v>
      </c>
      <c r="B157" s="20" t="s">
        <v>472</v>
      </c>
      <c r="C157" s="20" t="s">
        <v>474</v>
      </c>
      <c r="D157" s="21" t="s">
        <v>473</v>
      </c>
      <c r="E157" s="20">
        <v>65.5</v>
      </c>
    </row>
    <row r="158">
      <c r="A158" s="20">
        <v>703.0</v>
      </c>
      <c r="B158" s="20" t="s">
        <v>475</v>
      </c>
      <c r="C158" s="20" t="s">
        <v>477</v>
      </c>
      <c r="D158" s="21" t="s">
        <v>476</v>
      </c>
      <c r="E158" s="20">
        <v>97.2</v>
      </c>
    </row>
    <row r="159">
      <c r="A159" s="20">
        <v>705.0</v>
      </c>
      <c r="B159" s="20" t="s">
        <v>478</v>
      </c>
      <c r="C159" s="20" t="s">
        <v>480</v>
      </c>
      <c r="D159" s="21" t="s">
        <v>479</v>
      </c>
      <c r="E159" s="20">
        <v>93.4</v>
      </c>
    </row>
    <row r="160">
      <c r="A160" s="20">
        <v>90.0</v>
      </c>
      <c r="B160" s="20" t="s">
        <v>481</v>
      </c>
      <c r="C160" s="20" t="s">
        <v>483</v>
      </c>
      <c r="D160" s="21" t="s">
        <v>482</v>
      </c>
      <c r="E160" s="20">
        <v>85.8</v>
      </c>
    </row>
    <row r="161">
      <c r="A161" s="20">
        <v>706.0</v>
      </c>
      <c r="B161" s="20" t="s">
        <v>484</v>
      </c>
      <c r="C161" s="20" t="s">
        <v>486</v>
      </c>
      <c r="D161" s="21" t="s">
        <v>485</v>
      </c>
      <c r="E161" s="20">
        <v>87.5</v>
      </c>
    </row>
    <row r="162">
      <c r="A162" s="20">
        <v>710.0</v>
      </c>
      <c r="B162" s="20" t="s">
        <v>487</v>
      </c>
      <c r="C162" s="20" t="s">
        <v>489</v>
      </c>
      <c r="D162" s="21" t="s">
        <v>488</v>
      </c>
      <c r="E162" s="20">
        <v>43.2</v>
      </c>
    </row>
    <row r="163">
      <c r="A163" s="20">
        <v>728.0</v>
      </c>
      <c r="B163" s="20" t="s">
        <v>490</v>
      </c>
      <c r="C163" s="20" t="s">
        <v>492</v>
      </c>
      <c r="D163" s="21" t="s">
        <v>491</v>
      </c>
      <c r="E163" s="20">
        <v>79.2</v>
      </c>
    </row>
    <row r="164">
      <c r="A164" s="20">
        <v>724.0</v>
      </c>
      <c r="B164" s="20" t="s">
        <v>493</v>
      </c>
      <c r="C164" s="20" t="s">
        <v>495</v>
      </c>
      <c r="D164" s="21" t="s">
        <v>494</v>
      </c>
      <c r="E164" s="20">
        <v>76.6</v>
      </c>
    </row>
    <row r="165">
      <c r="A165" s="20">
        <v>144.0</v>
      </c>
      <c r="B165" s="20" t="s">
        <v>496</v>
      </c>
      <c r="C165" s="20" t="s">
        <v>498</v>
      </c>
      <c r="D165" s="21" t="s">
        <v>497</v>
      </c>
      <c r="E165" s="20">
        <v>44.3</v>
      </c>
    </row>
    <row r="166">
      <c r="A166" s="20">
        <v>275.0</v>
      </c>
      <c r="B166" s="20" t="s">
        <v>499</v>
      </c>
      <c r="C166" s="20" t="s">
        <v>501</v>
      </c>
      <c r="D166" s="21" t="s">
        <v>500</v>
      </c>
      <c r="E166" s="20">
        <v>96.1</v>
      </c>
    </row>
    <row r="167">
      <c r="A167" s="20">
        <v>729.0</v>
      </c>
      <c r="B167" s="20" t="s">
        <v>502</v>
      </c>
      <c r="C167" s="20" t="s">
        <v>504</v>
      </c>
      <c r="D167" s="21" t="s">
        <v>503</v>
      </c>
      <c r="E167" s="20">
        <v>74.3</v>
      </c>
    </row>
    <row r="168">
      <c r="A168" s="20">
        <v>740.0</v>
      </c>
      <c r="B168" s="20" t="s">
        <v>505</v>
      </c>
      <c r="C168" s="20" t="s">
        <v>507</v>
      </c>
      <c r="D168" s="21" t="s">
        <v>506</v>
      </c>
      <c r="E168" s="20">
        <v>82.2</v>
      </c>
    </row>
    <row r="169">
      <c r="A169" s="20">
        <v>752.0</v>
      </c>
      <c r="B169" s="20" t="s">
        <v>508</v>
      </c>
      <c r="C169" s="20" t="s">
        <v>510</v>
      </c>
      <c r="D169" s="21" t="s">
        <v>509</v>
      </c>
      <c r="E169" s="20">
        <v>86.7</v>
      </c>
    </row>
    <row r="170">
      <c r="A170" s="20">
        <v>756.0</v>
      </c>
      <c r="B170" s="20" t="s">
        <v>511</v>
      </c>
      <c r="C170" s="20" t="s">
        <v>513</v>
      </c>
      <c r="D170" s="21" t="s">
        <v>512</v>
      </c>
      <c r="E170" s="20">
        <v>57.4</v>
      </c>
    </row>
    <row r="171">
      <c r="A171" s="20">
        <v>438.0</v>
      </c>
      <c r="B171" s="20" t="s">
        <v>514</v>
      </c>
      <c r="C171" s="20" t="s">
        <v>516</v>
      </c>
      <c r="D171" s="21" t="s">
        <v>515</v>
      </c>
      <c r="E171" s="22"/>
    </row>
    <row r="172">
      <c r="A172" s="20">
        <v>760.0</v>
      </c>
      <c r="B172" s="20" t="s">
        <v>517</v>
      </c>
      <c r="C172" s="20" t="s">
        <v>519</v>
      </c>
      <c r="D172" s="21" t="s">
        <v>518</v>
      </c>
      <c r="E172" s="20">
        <v>91.2</v>
      </c>
    </row>
    <row r="173">
      <c r="A173" s="20">
        <v>762.0</v>
      </c>
      <c r="B173" s="20" t="s">
        <v>520</v>
      </c>
      <c r="C173" s="20" t="s">
        <v>522</v>
      </c>
      <c r="D173" s="21" t="s">
        <v>521</v>
      </c>
      <c r="E173" s="20">
        <v>62.5</v>
      </c>
    </row>
    <row r="174">
      <c r="A174" s="20">
        <v>834.0</v>
      </c>
      <c r="B174" s="20" t="s">
        <v>523</v>
      </c>
      <c r="C174" s="20" t="s">
        <v>525</v>
      </c>
      <c r="D174" s="21" t="s">
        <v>524</v>
      </c>
      <c r="E174" s="20">
        <v>56.1</v>
      </c>
    </row>
    <row r="175">
      <c r="A175" s="20">
        <v>764.0</v>
      </c>
      <c r="B175" s="20" t="s">
        <v>526</v>
      </c>
      <c r="C175" s="20" t="s">
        <v>528</v>
      </c>
      <c r="D175" s="21" t="s">
        <v>527</v>
      </c>
      <c r="E175" s="20">
        <v>62.9</v>
      </c>
    </row>
    <row r="176">
      <c r="A176" s="20">
        <v>626.0</v>
      </c>
      <c r="B176" s="20" t="s">
        <v>529</v>
      </c>
      <c r="C176" s="20" t="s">
        <v>531</v>
      </c>
      <c r="D176" s="21" t="s">
        <v>530</v>
      </c>
      <c r="E176" s="20">
        <v>79.4</v>
      </c>
    </row>
    <row r="177">
      <c r="A177" s="20">
        <v>768.0</v>
      </c>
      <c r="B177" s="20" t="s">
        <v>532</v>
      </c>
      <c r="C177" s="20" t="s">
        <v>534</v>
      </c>
      <c r="D177" s="21" t="s">
        <v>533</v>
      </c>
      <c r="E177" s="20">
        <v>65.0</v>
      </c>
    </row>
    <row r="178">
      <c r="A178" s="20">
        <v>776.0</v>
      </c>
      <c r="B178" s="20" t="s">
        <v>535</v>
      </c>
      <c r="C178" s="20" t="s">
        <v>537</v>
      </c>
      <c r="D178" s="21" t="s">
        <v>536</v>
      </c>
      <c r="E178" s="20">
        <v>69.6</v>
      </c>
    </row>
    <row r="179">
      <c r="A179" s="20">
        <v>780.0</v>
      </c>
      <c r="B179" s="20" t="s">
        <v>538</v>
      </c>
      <c r="C179" s="20" t="s">
        <v>540</v>
      </c>
      <c r="D179" s="21" t="s">
        <v>539</v>
      </c>
      <c r="E179" s="20">
        <v>70.0</v>
      </c>
    </row>
    <row r="180">
      <c r="A180" s="20">
        <v>788.0</v>
      </c>
      <c r="B180" s="20" t="s">
        <v>541</v>
      </c>
      <c r="C180" s="20" t="s">
        <v>543</v>
      </c>
      <c r="D180" s="21" t="s">
        <v>542</v>
      </c>
      <c r="E180" s="20">
        <v>73.2</v>
      </c>
    </row>
    <row r="181">
      <c r="A181" s="20">
        <v>792.0</v>
      </c>
      <c r="B181" s="20" t="s">
        <v>544</v>
      </c>
      <c r="C181" s="20" t="s">
        <v>546</v>
      </c>
      <c r="D181" s="21" t="s">
        <v>545</v>
      </c>
      <c r="E181" s="20">
        <v>64.6</v>
      </c>
    </row>
    <row r="182">
      <c r="A182" s="20">
        <v>795.0</v>
      </c>
      <c r="B182" s="20" t="s">
        <v>547</v>
      </c>
      <c r="C182" s="20" t="s">
        <v>549</v>
      </c>
      <c r="D182" s="21" t="s">
        <v>548</v>
      </c>
      <c r="E182" s="20">
        <v>73.1</v>
      </c>
    </row>
    <row r="183">
      <c r="A183" s="20">
        <v>798.0</v>
      </c>
      <c r="B183" s="20" t="s">
        <v>550</v>
      </c>
      <c r="C183" s="20" t="s">
        <v>552</v>
      </c>
      <c r="D183" s="21" t="s">
        <v>551</v>
      </c>
      <c r="E183" s="20">
        <v>96.5</v>
      </c>
    </row>
    <row r="184">
      <c r="A184" s="20">
        <v>800.0</v>
      </c>
      <c r="B184" s="20" t="s">
        <v>553</v>
      </c>
      <c r="C184" s="20" t="s">
        <v>555</v>
      </c>
      <c r="D184" s="21" t="s">
        <v>554</v>
      </c>
      <c r="E184" s="20">
        <v>66.7</v>
      </c>
    </row>
    <row r="185">
      <c r="A185" s="20">
        <v>804.0</v>
      </c>
      <c r="B185" s="20" t="s">
        <v>556</v>
      </c>
      <c r="C185" s="20" t="s">
        <v>558</v>
      </c>
      <c r="D185" s="21" t="s">
        <v>557</v>
      </c>
      <c r="E185" s="20">
        <v>73.7</v>
      </c>
    </row>
    <row r="186">
      <c r="A186" s="20">
        <v>784.0</v>
      </c>
      <c r="B186" s="20" t="s">
        <v>559</v>
      </c>
      <c r="C186" s="20" t="s">
        <v>561</v>
      </c>
      <c r="D186" s="21" t="s">
        <v>560</v>
      </c>
      <c r="E186" s="20">
        <v>44.1</v>
      </c>
    </row>
    <row r="187">
      <c r="A187" s="20">
        <v>826.0</v>
      </c>
      <c r="B187" s="20" t="s">
        <v>562</v>
      </c>
      <c r="C187" s="20" t="s">
        <v>564</v>
      </c>
      <c r="D187" s="21" t="s">
        <v>563</v>
      </c>
      <c r="E187" s="20">
        <v>72.8</v>
      </c>
    </row>
    <row r="188">
      <c r="A188" s="20">
        <v>840.0</v>
      </c>
      <c r="B188" s="20" t="s">
        <v>565</v>
      </c>
      <c r="C188" s="20" t="s">
        <v>567</v>
      </c>
      <c r="D188" s="21" t="s">
        <v>566</v>
      </c>
      <c r="E188" s="20">
        <v>43.7</v>
      </c>
    </row>
    <row r="189">
      <c r="A189" s="20">
        <v>858.0</v>
      </c>
      <c r="B189" s="20" t="s">
        <v>568</v>
      </c>
      <c r="C189" s="20" t="s">
        <v>570</v>
      </c>
      <c r="D189" s="21" t="s">
        <v>569</v>
      </c>
      <c r="E189" s="20">
        <v>65.0</v>
      </c>
    </row>
    <row r="190">
      <c r="A190" s="20">
        <v>860.0</v>
      </c>
      <c r="B190" s="20" t="s">
        <v>571</v>
      </c>
      <c r="C190" s="20" t="s">
        <v>573</v>
      </c>
      <c r="D190" s="21" t="s">
        <v>572</v>
      </c>
      <c r="E190" s="20">
        <v>63.4</v>
      </c>
    </row>
    <row r="191">
      <c r="A191" s="20">
        <v>548.0</v>
      </c>
      <c r="B191" s="20" t="s">
        <v>574</v>
      </c>
      <c r="C191" s="20" t="s">
        <v>576</v>
      </c>
      <c r="D191" s="21" t="s">
        <v>575</v>
      </c>
      <c r="E191" s="20">
        <v>84.2</v>
      </c>
    </row>
    <row r="192">
      <c r="A192" s="20">
        <v>862.0</v>
      </c>
      <c r="B192" s="20" t="s">
        <v>577</v>
      </c>
      <c r="C192" s="20" t="s">
        <v>579</v>
      </c>
      <c r="D192" s="21" t="s">
        <v>578</v>
      </c>
      <c r="E192" s="20">
        <v>68.4</v>
      </c>
    </row>
    <row r="193">
      <c r="A193" s="20">
        <v>704.0</v>
      </c>
      <c r="B193" s="20" t="s">
        <v>580</v>
      </c>
      <c r="C193" s="20" t="s">
        <v>582</v>
      </c>
      <c r="D193" s="21" t="s">
        <v>581</v>
      </c>
      <c r="E193" s="20">
        <v>54.8</v>
      </c>
    </row>
    <row r="194">
      <c r="A194" s="20">
        <v>887.0</v>
      </c>
      <c r="B194" s="20" t="s">
        <v>583</v>
      </c>
      <c r="C194" s="20" t="s">
        <v>585</v>
      </c>
      <c r="D194" s="21" t="s">
        <v>584</v>
      </c>
      <c r="E194" s="20">
        <v>71.5</v>
      </c>
    </row>
    <row r="195">
      <c r="A195" s="20">
        <v>894.0</v>
      </c>
      <c r="B195" s="20" t="s">
        <v>586</v>
      </c>
      <c r="C195" s="20" t="s">
        <v>588</v>
      </c>
      <c r="D195" s="21" t="s">
        <v>587</v>
      </c>
      <c r="E195" s="20">
        <v>71.9</v>
      </c>
    </row>
    <row r="196">
      <c r="A196" s="20">
        <v>716.0</v>
      </c>
      <c r="B196" s="20" t="s">
        <v>589</v>
      </c>
      <c r="C196" s="20" t="s">
        <v>591</v>
      </c>
      <c r="D196" s="21" t="s">
        <v>590</v>
      </c>
      <c r="E196" s="20">
        <v>80.9</v>
      </c>
    </row>
    <row r="197">
      <c r="A197" s="22"/>
      <c r="B197" s="22"/>
      <c r="C197" s="22"/>
      <c r="D197" s="22"/>
      <c r="E197" s="22"/>
    </row>
    <row r="198">
      <c r="A198" s="22"/>
      <c r="B198" s="22"/>
      <c r="C198" s="22"/>
      <c r="D198" s="22"/>
      <c r="E198" s="22"/>
    </row>
    <row r="199">
      <c r="A199" s="22"/>
      <c r="B199" s="22"/>
      <c r="C199" s="22"/>
      <c r="D199" s="22"/>
      <c r="E199" s="22"/>
    </row>
    <row r="200">
      <c r="A200" s="22"/>
      <c r="B200" s="22"/>
      <c r="C200" s="22"/>
      <c r="D200" s="22"/>
      <c r="E200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13"/>
    <col customWidth="1" min="5" max="5" width="40.75"/>
  </cols>
  <sheetData>
    <row r="1">
      <c r="A1" s="23" t="s">
        <v>594</v>
      </c>
      <c r="B1" s="23" t="s">
        <v>595</v>
      </c>
      <c r="C1" s="23"/>
      <c r="D1" s="23" t="s">
        <v>596</v>
      </c>
      <c r="E1" s="23" t="s">
        <v>597</v>
      </c>
      <c r="F1" s="23"/>
      <c r="G1" s="23" t="s">
        <v>598</v>
      </c>
      <c r="H1" s="23" t="s">
        <v>599</v>
      </c>
      <c r="I1" s="23" t="s">
        <v>600</v>
      </c>
      <c r="J1" s="23" t="s">
        <v>601</v>
      </c>
      <c r="K1" s="23" t="s">
        <v>602</v>
      </c>
      <c r="L1" s="23" t="s">
        <v>603</v>
      </c>
      <c r="M1" s="23" t="s">
        <v>604</v>
      </c>
      <c r="N1" s="23" t="s">
        <v>605</v>
      </c>
      <c r="O1" s="23" t="s">
        <v>606</v>
      </c>
      <c r="P1" s="23" t="s">
        <v>607</v>
      </c>
      <c r="Q1" s="23" t="s">
        <v>608</v>
      </c>
      <c r="R1" s="23" t="s">
        <v>609</v>
      </c>
    </row>
    <row r="2">
      <c r="A2" s="23">
        <v>1.1</v>
      </c>
      <c r="B2" s="23" t="s">
        <v>610</v>
      </c>
      <c r="C2" s="23" t="str">
        <f t="shared" ref="C2:C19" si="1">VLOOKUP(B2,B$26:B$43,1,false)</f>
        <v>gov_debt_to_gdp_perc</v>
      </c>
      <c r="D2" s="23" t="s">
        <v>611</v>
      </c>
      <c r="E2" s="23" t="s">
        <v>610</v>
      </c>
      <c r="F2" s="23"/>
      <c r="G2" s="23" t="s">
        <v>612</v>
      </c>
      <c r="H2" s="23">
        <v>1.0</v>
      </c>
      <c r="I2" s="23" t="s">
        <v>613</v>
      </c>
      <c r="J2" s="23" t="s">
        <v>614</v>
      </c>
      <c r="K2" s="23" t="s">
        <v>615</v>
      </c>
      <c r="L2" s="23">
        <v>2.0</v>
      </c>
      <c r="M2" s="23">
        <v>3.1</v>
      </c>
      <c r="N2" s="23">
        <v>6.1</v>
      </c>
      <c r="O2" s="23">
        <v>0.00525</v>
      </c>
      <c r="P2" s="23">
        <v>3.08747</v>
      </c>
      <c r="Q2" s="24">
        <v>2.0E-5</v>
      </c>
      <c r="R2" s="23">
        <v>6.00109</v>
      </c>
    </row>
    <row r="3">
      <c r="A3" s="23">
        <v>1.2</v>
      </c>
      <c r="B3" s="23" t="s">
        <v>616</v>
      </c>
      <c r="C3" s="23" t="str">
        <f t="shared" si="1"/>
        <v>gov_debt_usd_billions</v>
      </c>
      <c r="D3" s="23" t="s">
        <v>617</v>
      </c>
      <c r="E3" s="23" t="s">
        <v>616</v>
      </c>
      <c r="F3" s="23"/>
      <c r="G3" s="23" t="s">
        <v>612</v>
      </c>
      <c r="H3" s="23">
        <v>0.0</v>
      </c>
      <c r="I3" s="23" t="s">
        <v>618</v>
      </c>
      <c r="J3" s="23" t="s">
        <v>619</v>
      </c>
      <c r="K3" s="23" t="s">
        <v>615</v>
      </c>
      <c r="L3" s="23">
        <v>2.0</v>
      </c>
      <c r="M3" s="23">
        <v>75000.0</v>
      </c>
      <c r="N3" s="23">
        <v>75000.0</v>
      </c>
      <c r="O3" s="23">
        <v>0.00208974</v>
      </c>
      <c r="P3" s="23">
        <v>74930.6854511</v>
      </c>
      <c r="Q3" s="24">
        <v>2.32E-5</v>
      </c>
      <c r="R3" s="23">
        <v>74930.6854511</v>
      </c>
    </row>
    <row r="4">
      <c r="A4" s="23">
        <v>1.3</v>
      </c>
      <c r="B4" s="23" t="s">
        <v>620</v>
      </c>
      <c r="C4" s="23" t="str">
        <f t="shared" si="1"/>
        <v>gov_debt_usd_per_capita</v>
      </c>
      <c r="D4" s="23" t="s">
        <v>621</v>
      </c>
      <c r="E4" s="23" t="s">
        <v>620</v>
      </c>
      <c r="F4" s="23"/>
      <c r="G4" s="23" t="s">
        <v>622</v>
      </c>
      <c r="H4" s="23">
        <v>0.0</v>
      </c>
      <c r="I4" s="23" t="s">
        <v>623</v>
      </c>
      <c r="J4" s="23" t="s">
        <v>619</v>
      </c>
      <c r="K4" s="23" t="s">
        <v>615</v>
      </c>
      <c r="L4" s="23">
        <v>2.0</v>
      </c>
      <c r="M4" s="23">
        <v>180000.0</v>
      </c>
      <c r="N4" s="23">
        <v>180000.0</v>
      </c>
      <c r="O4" s="23">
        <v>35.7686597938144</v>
      </c>
      <c r="P4" s="23">
        <v>170180.642093138</v>
      </c>
      <c r="Q4" s="23">
        <v>0.0206589492430988</v>
      </c>
      <c r="R4" s="23">
        <v>170180.642093138</v>
      </c>
    </row>
    <row r="5">
      <c r="A5" s="23">
        <v>2.1</v>
      </c>
      <c r="B5" s="23" t="s">
        <v>624</v>
      </c>
      <c r="C5" s="23" t="str">
        <f t="shared" si="1"/>
        <v>external_ppg_perc_gdp</v>
      </c>
      <c r="D5" s="23" t="s">
        <v>625</v>
      </c>
      <c r="E5" s="23" t="s">
        <v>624</v>
      </c>
      <c r="F5" s="23"/>
      <c r="G5" s="23" t="s">
        <v>612</v>
      </c>
      <c r="H5" s="23">
        <v>1.0</v>
      </c>
      <c r="I5" s="23" t="s">
        <v>613</v>
      </c>
      <c r="J5" s="23" t="s">
        <v>614</v>
      </c>
      <c r="K5" s="23" t="s">
        <v>626</v>
      </c>
      <c r="L5" s="23">
        <v>2.0</v>
      </c>
      <c r="M5" s="23">
        <v>1.2</v>
      </c>
      <c r="N5" s="23">
        <v>4.0</v>
      </c>
      <c r="O5" s="24">
        <v>7.76353922712131E-4</v>
      </c>
      <c r="P5" s="23">
        <v>1.14960428707522</v>
      </c>
      <c r="Q5" s="24">
        <v>8.62068965517241E-6</v>
      </c>
      <c r="R5" s="23">
        <v>3.93275524166666</v>
      </c>
    </row>
    <row r="6">
      <c r="A6" s="23">
        <v>2.2</v>
      </c>
      <c r="B6" s="23" t="s">
        <v>627</v>
      </c>
      <c r="C6" s="23" t="str">
        <f t="shared" si="1"/>
        <v>external_ppg_usd_billions</v>
      </c>
      <c r="D6" s="23" t="s">
        <v>628</v>
      </c>
      <c r="E6" s="23" t="s">
        <v>627</v>
      </c>
      <c r="F6" s="23"/>
      <c r="G6" s="23" t="s">
        <v>612</v>
      </c>
      <c r="H6" s="23">
        <v>0.0</v>
      </c>
      <c r="I6" s="23" t="s">
        <v>618</v>
      </c>
      <c r="J6" s="23" t="s">
        <v>619</v>
      </c>
      <c r="K6" s="23" t="s">
        <v>626</v>
      </c>
      <c r="L6" s="23">
        <v>1.0</v>
      </c>
      <c r="M6" s="23">
        <v>600.0</v>
      </c>
      <c r="N6" s="23">
        <v>600.0</v>
      </c>
      <c r="O6" s="23">
        <v>0.1293467555</v>
      </c>
      <c r="P6" s="23">
        <v>504.1125308995</v>
      </c>
      <c r="Q6" s="24">
        <v>1.0E-5</v>
      </c>
      <c r="R6" s="23">
        <v>554.2922538366</v>
      </c>
    </row>
    <row r="7">
      <c r="A7" s="23">
        <v>2.3</v>
      </c>
      <c r="B7" s="23" t="s">
        <v>629</v>
      </c>
      <c r="C7" s="23" t="str">
        <f t="shared" si="1"/>
        <v>external_ppg_per_capita</v>
      </c>
      <c r="D7" s="23" t="s">
        <v>630</v>
      </c>
      <c r="E7" s="23" t="s">
        <v>629</v>
      </c>
      <c r="F7" s="23"/>
      <c r="G7" s="23" t="s">
        <v>622</v>
      </c>
      <c r="H7" s="23">
        <v>0.0</v>
      </c>
      <c r="I7" s="23" t="s">
        <v>623</v>
      </c>
      <c r="J7" s="23" t="s">
        <v>619</v>
      </c>
      <c r="K7" s="23" t="s">
        <v>626</v>
      </c>
      <c r="L7" s="23">
        <v>2.0</v>
      </c>
      <c r="M7" s="23">
        <v>11000.0</v>
      </c>
      <c r="N7" s="23">
        <v>11000.0</v>
      </c>
      <c r="O7" s="23">
        <v>3.75324051909176</v>
      </c>
      <c r="P7" s="23">
        <v>10187.4883237623</v>
      </c>
      <c r="Q7" s="23">
        <v>0.0089047195013357</v>
      </c>
      <c r="R7" s="23">
        <v>10187.4883237623</v>
      </c>
    </row>
    <row r="8">
      <c r="A8" s="23">
        <v>3.1</v>
      </c>
      <c r="B8" s="23" t="s">
        <v>631</v>
      </c>
      <c r="C8" s="23" t="str">
        <f t="shared" si="1"/>
        <v>multilateral_share_external_ppg</v>
      </c>
      <c r="D8" s="23" t="s">
        <v>632</v>
      </c>
      <c r="E8" s="23" t="s">
        <v>631</v>
      </c>
      <c r="F8" s="23"/>
      <c r="G8" s="23" t="s">
        <v>622</v>
      </c>
      <c r="H8" s="23">
        <v>1.0</v>
      </c>
      <c r="I8" s="23" t="s">
        <v>633</v>
      </c>
      <c r="J8" s="23" t="s">
        <v>614</v>
      </c>
      <c r="K8" s="23" t="s">
        <v>634</v>
      </c>
      <c r="L8" s="23">
        <v>1.0</v>
      </c>
      <c r="M8" s="23">
        <v>1.0</v>
      </c>
      <c r="N8" s="23">
        <v>1.0</v>
      </c>
      <c r="O8" s="23">
        <v>0.0388765703692738</v>
      </c>
      <c r="P8" s="23">
        <v>0.935346163129241</v>
      </c>
      <c r="Q8" s="23">
        <v>0.00128355809271515</v>
      </c>
      <c r="R8" s="23">
        <v>1.0</v>
      </c>
    </row>
    <row r="9">
      <c r="A9" s="23">
        <v>3.2</v>
      </c>
      <c r="B9" s="23" t="s">
        <v>635</v>
      </c>
      <c r="C9" s="23" t="str">
        <f t="shared" si="1"/>
        <v>bilateral_share_external_ppg</v>
      </c>
      <c r="D9" s="23" t="s">
        <v>636</v>
      </c>
      <c r="E9" s="23" t="s">
        <v>635</v>
      </c>
      <c r="F9" s="23"/>
      <c r="G9" s="23" t="s">
        <v>622</v>
      </c>
      <c r="H9" s="23">
        <v>1.0</v>
      </c>
      <c r="I9" s="23" t="s">
        <v>637</v>
      </c>
      <c r="J9" s="23" t="s">
        <v>614</v>
      </c>
      <c r="K9" s="23" t="s">
        <v>634</v>
      </c>
      <c r="L9" s="23">
        <v>1.0</v>
      </c>
      <c r="M9" s="23">
        <v>0.7</v>
      </c>
      <c r="N9" s="23">
        <v>1.0</v>
      </c>
      <c r="O9" s="23">
        <v>0.00951389392929661</v>
      </c>
      <c r="P9" s="23">
        <v>0.699737982043406</v>
      </c>
      <c r="Q9" s="23">
        <v>0.0</v>
      </c>
      <c r="R9" s="23">
        <v>0.965165326170063</v>
      </c>
    </row>
    <row r="10">
      <c r="A10" s="23">
        <v>3.3</v>
      </c>
      <c r="B10" s="23" t="s">
        <v>638</v>
      </c>
      <c r="C10" s="23" t="str">
        <f t="shared" si="1"/>
        <v>private_share_external_ppg</v>
      </c>
      <c r="D10" s="23" t="s">
        <v>639</v>
      </c>
      <c r="E10" s="23" t="s">
        <v>638</v>
      </c>
      <c r="F10" s="23"/>
      <c r="G10" s="23" t="s">
        <v>622</v>
      </c>
      <c r="H10" s="23">
        <v>1.0</v>
      </c>
      <c r="I10" s="23" t="s">
        <v>640</v>
      </c>
      <c r="J10" s="23" t="s">
        <v>614</v>
      </c>
      <c r="K10" s="23" t="s">
        <v>634</v>
      </c>
      <c r="L10" s="23">
        <v>1.0</v>
      </c>
      <c r="M10" s="23">
        <v>1.0</v>
      </c>
      <c r="N10" s="23">
        <v>1.0</v>
      </c>
      <c r="O10" s="23">
        <v>0.0</v>
      </c>
      <c r="P10" s="23">
        <v>0.930391063785872</v>
      </c>
      <c r="Q10" s="23">
        <v>0.0</v>
      </c>
      <c r="R10" s="23">
        <v>0.989463726650349</v>
      </c>
    </row>
    <row r="11">
      <c r="A11" s="23">
        <v>4.1</v>
      </c>
      <c r="B11" s="23" t="s">
        <v>641</v>
      </c>
      <c r="C11" s="23" t="str">
        <f t="shared" si="1"/>
        <v>gov_net_interest_perc_gdp</v>
      </c>
      <c r="D11" s="23" t="s">
        <v>642</v>
      </c>
      <c r="E11" s="23" t="s">
        <v>641</v>
      </c>
      <c r="F11" s="23"/>
      <c r="G11" s="23" t="s">
        <v>612</v>
      </c>
      <c r="H11" s="23">
        <v>1.0</v>
      </c>
      <c r="I11" s="23" t="s">
        <v>613</v>
      </c>
      <c r="J11" s="23" t="s">
        <v>614</v>
      </c>
      <c r="K11" s="23" t="s">
        <v>643</v>
      </c>
      <c r="L11" s="23">
        <v>2.0</v>
      </c>
      <c r="M11" s="23">
        <v>0.1</v>
      </c>
      <c r="N11" s="23">
        <v>0.18</v>
      </c>
      <c r="O11" s="23">
        <v>-0.306065492433639</v>
      </c>
      <c r="P11" s="23">
        <v>0.0981969310168005</v>
      </c>
      <c r="Q11" s="23">
        <v>-0.306065492433639</v>
      </c>
      <c r="R11" s="23">
        <v>0.172664740402685</v>
      </c>
    </row>
    <row r="12">
      <c r="A12" s="23">
        <v>4.2</v>
      </c>
      <c r="B12" s="23" t="s">
        <v>644</v>
      </c>
      <c r="C12" s="23" t="str">
        <f t="shared" si="1"/>
        <v>gov_net_interest_perc_revenues</v>
      </c>
      <c r="D12" s="23" t="s">
        <v>645</v>
      </c>
      <c r="E12" s="23" t="s">
        <v>644</v>
      </c>
      <c r="F12" s="23"/>
      <c r="G12" s="23" t="s">
        <v>612</v>
      </c>
      <c r="H12" s="23">
        <v>1.0</v>
      </c>
      <c r="I12" s="23" t="s">
        <v>646</v>
      </c>
      <c r="J12" s="23" t="s">
        <v>614</v>
      </c>
      <c r="K12" s="23" t="s">
        <v>643</v>
      </c>
      <c r="L12" s="23">
        <v>1.0</v>
      </c>
      <c r="M12" s="23">
        <v>0.7</v>
      </c>
      <c r="N12" s="23">
        <v>2.0</v>
      </c>
      <c r="O12" s="23">
        <v>-0.390087740099596</v>
      </c>
      <c r="P12" s="23">
        <v>0.609353765005207</v>
      </c>
      <c r="Q12" s="23">
        <v>-0.394841177293717</v>
      </c>
      <c r="R12" s="23">
        <v>-0.394841177293717</v>
      </c>
    </row>
    <row r="13">
      <c r="A13" s="23">
        <v>4.3</v>
      </c>
      <c r="B13" s="23" t="s">
        <v>647</v>
      </c>
      <c r="C13" s="23" t="str">
        <f t="shared" si="1"/>
        <v>gov_net_interest_per_capita</v>
      </c>
      <c r="D13" s="23" t="s">
        <v>648</v>
      </c>
      <c r="E13" s="23" t="s">
        <v>647</v>
      </c>
      <c r="F13" s="23"/>
      <c r="G13" s="23" t="s">
        <v>612</v>
      </c>
      <c r="H13" s="23">
        <v>0.0</v>
      </c>
      <c r="I13" s="23" t="s">
        <v>623</v>
      </c>
      <c r="J13" s="23" t="s">
        <v>619</v>
      </c>
      <c r="K13" s="23" t="s">
        <v>643</v>
      </c>
      <c r="L13" s="23">
        <v>2.0</v>
      </c>
      <c r="M13" s="23">
        <v>3300.0</v>
      </c>
      <c r="N13" s="23">
        <v>3300.0</v>
      </c>
      <c r="O13" s="23">
        <v>-9449.89182282149</v>
      </c>
      <c r="P13" s="23">
        <v>3288.35005411097</v>
      </c>
      <c r="Q13" s="23">
        <v>-9449.89182282149</v>
      </c>
      <c r="R13" s="23">
        <v>3288.35005411097</v>
      </c>
    </row>
    <row r="14">
      <c r="A14" s="23">
        <v>5.1</v>
      </c>
      <c r="B14" s="23" t="s">
        <v>649</v>
      </c>
      <c r="C14" s="23" t="str">
        <f t="shared" si="1"/>
        <v>edu_spending_perc_gdp</v>
      </c>
      <c r="D14" s="23" t="s">
        <v>650</v>
      </c>
      <c r="E14" s="23" t="s">
        <v>649</v>
      </c>
      <c r="F14" s="23"/>
      <c r="G14" s="23" t="s">
        <v>651</v>
      </c>
      <c r="H14" s="23">
        <v>1.0</v>
      </c>
      <c r="I14" s="23" t="s">
        <v>652</v>
      </c>
      <c r="J14" s="23" t="s">
        <v>614</v>
      </c>
      <c r="K14" s="23" t="s">
        <v>653</v>
      </c>
      <c r="L14" s="23">
        <v>2.0</v>
      </c>
      <c r="M14" s="23">
        <v>0.16</v>
      </c>
      <c r="N14" s="23">
        <v>0.16</v>
      </c>
      <c r="O14" s="24">
        <v>7.67968589724E-8</v>
      </c>
      <c r="P14" s="23">
        <v>0.155882806410256</v>
      </c>
      <c r="Q14" s="24">
        <v>4.871360407445E-8</v>
      </c>
      <c r="R14" s="23">
        <v>0.155882806410256</v>
      </c>
    </row>
    <row r="15">
      <c r="A15" s="23">
        <v>5.2</v>
      </c>
      <c r="B15" s="23" t="s">
        <v>654</v>
      </c>
      <c r="C15" s="23" t="str">
        <f t="shared" si="1"/>
        <v>health_spending_perc_gdp</v>
      </c>
      <c r="D15" s="23" t="s">
        <v>655</v>
      </c>
      <c r="E15" s="23" t="s">
        <v>654</v>
      </c>
      <c r="F15" s="23"/>
      <c r="G15" s="23" t="s">
        <v>651</v>
      </c>
      <c r="H15" s="23">
        <v>1.0</v>
      </c>
      <c r="I15" s="23" t="s">
        <v>656</v>
      </c>
      <c r="J15" s="23" t="s">
        <v>614</v>
      </c>
      <c r="K15" s="23" t="s">
        <v>653</v>
      </c>
      <c r="L15" s="23">
        <v>2.0</v>
      </c>
      <c r="M15" s="23">
        <v>0.19</v>
      </c>
      <c r="N15" s="23">
        <v>0.19</v>
      </c>
      <c r="O15" s="23">
        <v>0.00214610025</v>
      </c>
      <c r="P15" s="23">
        <v>0.180937109</v>
      </c>
      <c r="Q15" s="23">
        <v>0.00121264115</v>
      </c>
      <c r="R15" s="23">
        <v>0.180937109</v>
      </c>
    </row>
    <row r="16">
      <c r="A16" s="23">
        <v>5.3</v>
      </c>
      <c r="B16" s="23" t="s">
        <v>657</v>
      </c>
      <c r="C16" s="23" t="str">
        <f t="shared" si="1"/>
        <v>gov_spending_perc_gdp</v>
      </c>
      <c r="D16" s="23" t="s">
        <v>658</v>
      </c>
      <c r="E16" s="23" t="s">
        <v>659</v>
      </c>
      <c r="F16" s="23"/>
      <c r="G16" s="23" t="s">
        <v>651</v>
      </c>
      <c r="H16" s="23">
        <v>1.0</v>
      </c>
      <c r="I16" s="23" t="s">
        <v>660</v>
      </c>
      <c r="J16" s="23" t="s">
        <v>614</v>
      </c>
      <c r="K16" s="23" t="s">
        <v>653</v>
      </c>
      <c r="L16" s="23">
        <v>2.0</v>
      </c>
      <c r="M16" s="23">
        <v>1.3</v>
      </c>
      <c r="N16" s="23">
        <v>6.0</v>
      </c>
      <c r="O16" s="23">
        <v>0.05994</v>
      </c>
      <c r="P16" s="23">
        <v>1.2872</v>
      </c>
      <c r="Q16" s="23">
        <v>0.01822</v>
      </c>
      <c r="R16" s="23">
        <v>5.9477</v>
      </c>
    </row>
    <row r="17">
      <c r="A17" s="23">
        <v>5.4</v>
      </c>
      <c r="B17" s="23" t="s">
        <v>661</v>
      </c>
      <c r="C17" s="23" t="str">
        <f t="shared" si="1"/>
        <v>edu_spending_perc_net_interest</v>
      </c>
      <c r="D17" s="23" t="s">
        <v>662</v>
      </c>
      <c r="E17" s="23" t="s">
        <v>661</v>
      </c>
      <c r="F17" s="23"/>
      <c r="G17" s="23" t="s">
        <v>612</v>
      </c>
      <c r="H17" s="23">
        <v>1.0</v>
      </c>
      <c r="I17" s="23" t="s">
        <v>663</v>
      </c>
      <c r="J17" s="23" t="s">
        <v>594</v>
      </c>
      <c r="K17" s="23" t="s">
        <v>664</v>
      </c>
      <c r="L17" s="23">
        <v>2.0</v>
      </c>
      <c r="M17" s="23">
        <v>2400.0</v>
      </c>
      <c r="N17" s="23">
        <v>2400.0</v>
      </c>
      <c r="O17" s="23">
        <v>-3.74937287007876</v>
      </c>
      <c r="P17" s="23">
        <v>2358.47018936311</v>
      </c>
      <c r="Q17" s="23">
        <v>-3.74937287007876</v>
      </c>
      <c r="R17" s="23">
        <v>2358.47018936311</v>
      </c>
    </row>
    <row r="18">
      <c r="A18" s="23">
        <v>5.5</v>
      </c>
      <c r="B18" s="23" t="s">
        <v>665</v>
      </c>
      <c r="C18" s="23" t="str">
        <f t="shared" si="1"/>
        <v>health_spending_perc_net_interest</v>
      </c>
      <c r="D18" s="23" t="s">
        <v>666</v>
      </c>
      <c r="E18" s="23" t="s">
        <v>665</v>
      </c>
      <c r="F18" s="23"/>
      <c r="G18" s="23" t="s">
        <v>612</v>
      </c>
      <c r="H18" s="23">
        <v>1.0</v>
      </c>
      <c r="I18" s="23" t="s">
        <v>667</v>
      </c>
      <c r="J18" s="23" t="s">
        <v>594</v>
      </c>
      <c r="K18" s="23" t="s">
        <v>664</v>
      </c>
      <c r="L18" s="23">
        <v>1.0</v>
      </c>
      <c r="M18" s="23">
        <v>7.0</v>
      </c>
      <c r="N18" s="23">
        <v>7.0</v>
      </c>
      <c r="O18" s="23">
        <v>-5.11757155057662</v>
      </c>
      <c r="P18" s="23">
        <v>6.1255071008104</v>
      </c>
      <c r="Q18" s="23">
        <v>-5.11757155057662</v>
      </c>
      <c r="R18" s="23">
        <v>6.49724821993756</v>
      </c>
    </row>
    <row r="19">
      <c r="A19" s="23">
        <v>5.6</v>
      </c>
      <c r="B19" s="23" t="s">
        <v>668</v>
      </c>
      <c r="C19" s="23" t="str">
        <f t="shared" si="1"/>
        <v>gov_spending_perc_net_interest</v>
      </c>
      <c r="D19" s="23" t="s">
        <v>669</v>
      </c>
      <c r="E19" s="23" t="s">
        <v>670</v>
      </c>
      <c r="F19" s="23"/>
      <c r="G19" s="23" t="s">
        <v>612</v>
      </c>
      <c r="H19" s="23">
        <v>1.0</v>
      </c>
      <c r="I19" s="23" t="s">
        <v>671</v>
      </c>
      <c r="J19" s="23" t="s">
        <v>594</v>
      </c>
      <c r="K19" s="23" t="s">
        <v>664</v>
      </c>
      <c r="L19" s="23">
        <v>1.0</v>
      </c>
      <c r="M19" s="23">
        <v>0.5</v>
      </c>
      <c r="N19" s="23">
        <v>2.0</v>
      </c>
      <c r="O19" s="23">
        <v>-0.610884779916249</v>
      </c>
      <c r="P19" s="23">
        <v>0.433158054771947</v>
      </c>
      <c r="Q19" s="23">
        <v>-0.610884779916249</v>
      </c>
      <c r="R19" s="23">
        <v>1.21131366967476</v>
      </c>
    </row>
    <row r="24">
      <c r="A24" s="23" t="s">
        <v>672</v>
      </c>
    </row>
    <row r="25">
      <c r="A25" s="25" t="s">
        <v>594</v>
      </c>
      <c r="B25" s="25" t="s">
        <v>595</v>
      </c>
      <c r="C25" s="25"/>
      <c r="D25" s="25" t="s">
        <v>596</v>
      </c>
      <c r="E25" s="25" t="s">
        <v>597</v>
      </c>
      <c r="F25" s="25"/>
      <c r="G25" s="25" t="s">
        <v>598</v>
      </c>
      <c r="H25" s="25" t="s">
        <v>599</v>
      </c>
      <c r="I25" s="25" t="s">
        <v>600</v>
      </c>
      <c r="J25" s="25" t="s">
        <v>601</v>
      </c>
      <c r="K25" s="25" t="s">
        <v>602</v>
      </c>
      <c r="L25" s="25" t="s">
        <v>603</v>
      </c>
      <c r="M25" s="25" t="s">
        <v>604</v>
      </c>
      <c r="N25" s="25" t="s">
        <v>605</v>
      </c>
      <c r="O25" s="25" t="s">
        <v>606</v>
      </c>
      <c r="P25" s="25" t="s">
        <v>607</v>
      </c>
      <c r="Q25" s="25" t="s">
        <v>608</v>
      </c>
      <c r="R25" s="25" t="s">
        <v>609</v>
      </c>
    </row>
    <row r="26">
      <c r="A26" s="25">
        <v>1.1</v>
      </c>
      <c r="B26" s="25" t="s">
        <v>610</v>
      </c>
      <c r="C26" s="25"/>
      <c r="D26" s="25" t="s">
        <v>611</v>
      </c>
      <c r="E26" s="25" t="s">
        <v>610</v>
      </c>
      <c r="F26" s="25" t="str">
        <f t="shared" ref="F26:F43" si="2">VLOOKUP(E26,E$2:E$19,1,false)</f>
        <v>gov_debt_to_gdp_perc</v>
      </c>
      <c r="G26" s="25" t="s">
        <v>612</v>
      </c>
      <c r="H26" s="25">
        <v>1.0</v>
      </c>
      <c r="I26" s="25" t="s">
        <v>613</v>
      </c>
      <c r="J26" s="25" t="s">
        <v>614</v>
      </c>
      <c r="K26" s="25" t="s">
        <v>615</v>
      </c>
      <c r="L26" s="25">
        <v>2.0</v>
      </c>
      <c r="M26" s="25">
        <v>2.8</v>
      </c>
      <c r="N26" s="25">
        <v>6.1</v>
      </c>
      <c r="O26" s="25">
        <v>0.0</v>
      </c>
      <c r="P26" s="25">
        <v>2.71979</v>
      </c>
      <c r="Q26" s="25">
        <v>0.0</v>
      </c>
      <c r="R26" s="25">
        <v>6.00117</v>
      </c>
    </row>
    <row r="27">
      <c r="A27" s="25">
        <v>1.2</v>
      </c>
      <c r="B27" s="25" t="s">
        <v>616</v>
      </c>
      <c r="C27" s="25"/>
      <c r="D27" s="25" t="s">
        <v>617</v>
      </c>
      <c r="E27" s="25" t="s">
        <v>616</v>
      </c>
      <c r="F27" s="25" t="str">
        <f t="shared" si="2"/>
        <v>gov_debt_usd_billions</v>
      </c>
      <c r="G27" s="25" t="s">
        <v>612</v>
      </c>
      <c r="H27" s="25">
        <v>0.0</v>
      </c>
      <c r="I27" s="25" t="s">
        <v>618</v>
      </c>
      <c r="J27" s="25" t="s">
        <v>619</v>
      </c>
      <c r="K27" s="25" t="s">
        <v>615</v>
      </c>
      <c r="L27" s="25">
        <v>2.0</v>
      </c>
      <c r="M27" s="25">
        <v>36000.0</v>
      </c>
      <c r="N27" s="25">
        <v>36000.0</v>
      </c>
      <c r="O27" s="25">
        <v>0.0</v>
      </c>
      <c r="P27" s="25">
        <v>35251.27331</v>
      </c>
      <c r="Q27" s="25">
        <v>0.0</v>
      </c>
      <c r="R27" s="25">
        <v>35251.27331</v>
      </c>
    </row>
    <row r="28">
      <c r="A28" s="25">
        <v>1.3</v>
      </c>
      <c r="B28" s="25" t="s">
        <v>620</v>
      </c>
      <c r="C28" s="25"/>
      <c r="D28" s="25" t="s">
        <v>621</v>
      </c>
      <c r="E28" s="25" t="s">
        <v>620</v>
      </c>
      <c r="F28" s="25" t="str">
        <f t="shared" si="2"/>
        <v>gov_debt_usd_per_capita</v>
      </c>
      <c r="G28" s="25" t="s">
        <v>622</v>
      </c>
      <c r="H28" s="25">
        <v>0.0</v>
      </c>
      <c r="I28" s="25" t="s">
        <v>623</v>
      </c>
      <c r="J28" s="25" t="s">
        <v>619</v>
      </c>
      <c r="K28" s="25" t="s">
        <v>615</v>
      </c>
      <c r="L28" s="25">
        <v>2.0</v>
      </c>
      <c r="M28" s="25">
        <v>160000.0</v>
      </c>
      <c r="N28" s="25">
        <v>160000.0</v>
      </c>
      <c r="O28" s="25">
        <v>0.0</v>
      </c>
      <c r="P28" s="25">
        <v>158040.4285</v>
      </c>
      <c r="Q28" s="25">
        <v>0.0</v>
      </c>
      <c r="R28" s="25">
        <v>158040.4285</v>
      </c>
    </row>
    <row r="29">
      <c r="A29" s="25">
        <v>2.1</v>
      </c>
      <c r="B29" s="25" t="s">
        <v>624</v>
      </c>
      <c r="C29" s="25"/>
      <c r="D29" s="25" t="s">
        <v>625</v>
      </c>
      <c r="E29" s="25" t="s">
        <v>624</v>
      </c>
      <c r="F29" s="25" t="str">
        <f t="shared" si="2"/>
        <v>external_ppg_perc_gdp</v>
      </c>
      <c r="G29" s="25" t="s">
        <v>612</v>
      </c>
      <c r="H29" s="25">
        <v>1.0</v>
      </c>
      <c r="I29" s="25" t="s">
        <v>613</v>
      </c>
      <c r="J29" s="25" t="s">
        <v>614</v>
      </c>
      <c r="K29" s="25" t="s">
        <v>626</v>
      </c>
      <c r="L29" s="25">
        <v>2.0</v>
      </c>
      <c r="M29" s="25">
        <v>1.5</v>
      </c>
      <c r="N29" s="25">
        <v>4.0</v>
      </c>
      <c r="O29" s="25">
        <v>0.001041109598</v>
      </c>
      <c r="P29" s="25">
        <v>1.421333475</v>
      </c>
      <c r="Q29" s="26">
        <v>8.62E-6</v>
      </c>
      <c r="R29" s="25">
        <v>3.932755242</v>
      </c>
    </row>
    <row r="30">
      <c r="A30" s="25">
        <v>2.2</v>
      </c>
      <c r="B30" s="25" t="s">
        <v>627</v>
      </c>
      <c r="C30" s="25"/>
      <c r="D30" s="25" t="s">
        <v>628</v>
      </c>
      <c r="E30" s="25" t="s">
        <v>627</v>
      </c>
      <c r="F30" s="25" t="str">
        <f t="shared" si="2"/>
        <v>external_ppg_usd_billions</v>
      </c>
      <c r="G30" s="25" t="s">
        <v>612</v>
      </c>
      <c r="H30" s="25">
        <v>0.0</v>
      </c>
      <c r="I30" s="25" t="s">
        <v>618</v>
      </c>
      <c r="J30" s="25" t="s">
        <v>619</v>
      </c>
      <c r="K30" s="25" t="s">
        <v>626</v>
      </c>
      <c r="L30" s="25">
        <v>1.0</v>
      </c>
      <c r="M30" s="25">
        <v>500.0</v>
      </c>
      <c r="N30" s="25">
        <v>500.0</v>
      </c>
      <c r="O30" s="25">
        <v>0.1513626676</v>
      </c>
      <c r="P30" s="25">
        <v>467.995988</v>
      </c>
      <c r="Q30" s="26">
        <v>1.0E-5</v>
      </c>
      <c r="R30" s="25">
        <v>475.1672538</v>
      </c>
    </row>
    <row r="31">
      <c r="A31" s="25">
        <v>2.3</v>
      </c>
      <c r="B31" s="25" t="s">
        <v>629</v>
      </c>
      <c r="C31" s="25"/>
      <c r="D31" s="25" t="s">
        <v>630</v>
      </c>
      <c r="E31" s="25" t="s">
        <v>629</v>
      </c>
      <c r="F31" s="25" t="str">
        <f t="shared" si="2"/>
        <v>external_ppg_per_capita</v>
      </c>
      <c r="G31" s="25" t="s">
        <v>622</v>
      </c>
      <c r="H31" s="25">
        <v>0.0</v>
      </c>
      <c r="I31" s="25" t="s">
        <v>623</v>
      </c>
      <c r="J31" s="25" t="s">
        <v>619</v>
      </c>
      <c r="K31" s="25" t="s">
        <v>626</v>
      </c>
      <c r="L31" s="25">
        <v>2.0</v>
      </c>
      <c r="M31" s="25">
        <v>8700.0</v>
      </c>
      <c r="N31" s="25">
        <v>8700.0</v>
      </c>
      <c r="O31" s="25">
        <v>4.525908983</v>
      </c>
      <c r="P31" s="25">
        <v>8609.601129</v>
      </c>
      <c r="Q31" s="25">
        <v>0.008810572687</v>
      </c>
      <c r="R31" s="25">
        <v>8609.601129</v>
      </c>
    </row>
    <row r="32">
      <c r="A32" s="25">
        <v>3.1</v>
      </c>
      <c r="B32" s="25" t="s">
        <v>631</v>
      </c>
      <c r="C32" s="25"/>
      <c r="D32" s="25" t="s">
        <v>632</v>
      </c>
      <c r="E32" s="25" t="s">
        <v>631</v>
      </c>
      <c r="F32" s="25" t="str">
        <f t="shared" si="2"/>
        <v>multilateral_share_external_ppg</v>
      </c>
      <c r="G32" s="25" t="s">
        <v>622</v>
      </c>
      <c r="H32" s="25">
        <v>1.0</v>
      </c>
      <c r="I32" s="25" t="s">
        <v>633</v>
      </c>
      <c r="J32" s="25" t="s">
        <v>614</v>
      </c>
      <c r="K32" s="25" t="s">
        <v>634</v>
      </c>
      <c r="L32" s="25">
        <v>1.0</v>
      </c>
      <c r="M32" s="25">
        <v>1.0</v>
      </c>
      <c r="N32" s="25">
        <v>1.0</v>
      </c>
      <c r="O32" s="25">
        <v>0.03478349621</v>
      </c>
      <c r="P32" s="25">
        <v>0.9804641137</v>
      </c>
      <c r="Q32" s="25">
        <v>0.001283620721</v>
      </c>
      <c r="R32" s="25">
        <v>1.0</v>
      </c>
    </row>
    <row r="33">
      <c r="A33" s="25">
        <v>3.2</v>
      </c>
      <c r="B33" s="25" t="s">
        <v>635</v>
      </c>
      <c r="C33" s="25"/>
      <c r="D33" s="25" t="s">
        <v>636</v>
      </c>
      <c r="E33" s="25" t="s">
        <v>635</v>
      </c>
      <c r="F33" s="25" t="str">
        <f t="shared" si="2"/>
        <v>bilateral_share_external_ppg</v>
      </c>
      <c r="G33" s="25" t="s">
        <v>622</v>
      </c>
      <c r="H33" s="25">
        <v>1.0</v>
      </c>
      <c r="I33" s="25" t="s">
        <v>637</v>
      </c>
      <c r="J33" s="25" t="s">
        <v>614</v>
      </c>
      <c r="K33" s="25" t="s">
        <v>634</v>
      </c>
      <c r="L33" s="25">
        <v>1.0</v>
      </c>
      <c r="M33" s="25">
        <v>1.0</v>
      </c>
      <c r="N33" s="25">
        <v>1.0</v>
      </c>
      <c r="O33" s="25">
        <v>0.008349049713</v>
      </c>
      <c r="P33" s="25">
        <v>0.9484395611</v>
      </c>
      <c r="Q33" s="25">
        <v>0.0</v>
      </c>
      <c r="R33" s="25">
        <v>0.9651653262</v>
      </c>
    </row>
    <row r="34">
      <c r="A34" s="25">
        <v>3.3</v>
      </c>
      <c r="B34" s="25" t="s">
        <v>638</v>
      </c>
      <c r="C34" s="25"/>
      <c r="D34" s="25" t="s">
        <v>639</v>
      </c>
      <c r="E34" s="25" t="s">
        <v>638</v>
      </c>
      <c r="F34" s="25" t="str">
        <f t="shared" si="2"/>
        <v>private_share_external_ppg</v>
      </c>
      <c r="G34" s="25" t="s">
        <v>622</v>
      </c>
      <c r="H34" s="25">
        <v>1.0</v>
      </c>
      <c r="I34" s="25" t="s">
        <v>640</v>
      </c>
      <c r="J34" s="25" t="s">
        <v>614</v>
      </c>
      <c r="K34" s="25" t="s">
        <v>634</v>
      </c>
      <c r="L34" s="25">
        <v>1.0</v>
      </c>
      <c r="M34" s="25">
        <v>1.0</v>
      </c>
      <c r="N34" s="25">
        <v>1.0</v>
      </c>
      <c r="O34" s="25">
        <v>0.0</v>
      </c>
      <c r="P34" s="25">
        <v>0.9353643682</v>
      </c>
      <c r="Q34" s="25">
        <v>0.0</v>
      </c>
      <c r="R34" s="25">
        <v>0.9894637267</v>
      </c>
    </row>
    <row r="35">
      <c r="A35" s="25">
        <v>4.1</v>
      </c>
      <c r="B35" s="25" t="s">
        <v>641</v>
      </c>
      <c r="C35" s="25"/>
      <c r="D35" s="25" t="s">
        <v>642</v>
      </c>
      <c r="E35" s="25" t="s">
        <v>641</v>
      </c>
      <c r="F35" s="25" t="str">
        <f t="shared" si="2"/>
        <v>gov_net_interest_perc_gdp</v>
      </c>
      <c r="G35" s="25" t="s">
        <v>612</v>
      </c>
      <c r="H35" s="25">
        <v>1.0</v>
      </c>
      <c r="I35" s="25" t="s">
        <v>613</v>
      </c>
      <c r="J35" s="25" t="s">
        <v>614</v>
      </c>
      <c r="K35" s="25" t="s">
        <v>643</v>
      </c>
      <c r="L35" s="25">
        <v>2.0</v>
      </c>
      <c r="M35" s="25">
        <v>0.09</v>
      </c>
      <c r="N35" s="25">
        <v>0.18</v>
      </c>
      <c r="O35" s="25">
        <v>-0.2266820201</v>
      </c>
      <c r="P35" s="25">
        <v>0.08822379826</v>
      </c>
      <c r="Q35" s="25">
        <v>-0.2266820201</v>
      </c>
      <c r="R35" s="25">
        <v>0.1771455606</v>
      </c>
    </row>
    <row r="36">
      <c r="A36" s="25">
        <v>4.2</v>
      </c>
      <c r="B36" s="25" t="s">
        <v>644</v>
      </c>
      <c r="C36" s="25"/>
      <c r="D36" s="25" t="s">
        <v>645</v>
      </c>
      <c r="E36" s="25" t="s">
        <v>644</v>
      </c>
      <c r="F36" s="25" t="str">
        <f t="shared" si="2"/>
        <v>gov_net_interest_perc_revenues</v>
      </c>
      <c r="G36" s="25" t="s">
        <v>612</v>
      </c>
      <c r="H36" s="25">
        <v>1.0</v>
      </c>
      <c r="I36" s="25" t="s">
        <v>646</v>
      </c>
      <c r="J36" s="25" t="s">
        <v>614</v>
      </c>
      <c r="K36" s="25" t="s">
        <v>643</v>
      </c>
      <c r="L36" s="25">
        <v>1.0</v>
      </c>
      <c r="M36" s="25">
        <v>0.7</v>
      </c>
      <c r="N36" s="25">
        <v>2.0</v>
      </c>
      <c r="O36" s="25">
        <v>-0.3130484169</v>
      </c>
      <c r="P36" s="25">
        <v>0.612567084</v>
      </c>
      <c r="Q36" s="25">
        <v>-0.3704889406</v>
      </c>
      <c r="R36" s="25">
        <v>1.117216117</v>
      </c>
    </row>
    <row r="37">
      <c r="A37" s="25">
        <v>4.3</v>
      </c>
      <c r="B37" s="25" t="s">
        <v>647</v>
      </c>
      <c r="C37" s="25"/>
      <c r="D37" s="25" t="s">
        <v>648</v>
      </c>
      <c r="E37" s="25" t="s">
        <v>647</v>
      </c>
      <c r="F37" s="25" t="str">
        <f t="shared" si="2"/>
        <v>gov_net_interest_per_capita</v>
      </c>
      <c r="G37" s="25" t="s">
        <v>612</v>
      </c>
      <c r="H37" s="25">
        <v>0.0</v>
      </c>
      <c r="I37" s="25" t="s">
        <v>623</v>
      </c>
      <c r="J37" s="25" t="s">
        <v>619</v>
      </c>
      <c r="K37" s="25" t="s">
        <v>643</v>
      </c>
      <c r="L37" s="25">
        <v>2.0</v>
      </c>
      <c r="M37" s="25">
        <v>3200.0</v>
      </c>
      <c r="N37" s="25">
        <v>3200.0</v>
      </c>
      <c r="O37" s="25">
        <v>-7171.690854</v>
      </c>
      <c r="P37" s="25">
        <v>3173.19216</v>
      </c>
      <c r="Q37" s="25">
        <v>-7171.690854</v>
      </c>
      <c r="R37" s="25">
        <v>3173.19216</v>
      </c>
    </row>
    <row r="38">
      <c r="A38" s="25">
        <v>5.1</v>
      </c>
      <c r="B38" s="25" t="s">
        <v>657</v>
      </c>
      <c r="C38" s="25"/>
      <c r="D38" s="25" t="s">
        <v>673</v>
      </c>
      <c r="E38" s="25" t="s">
        <v>657</v>
      </c>
      <c r="F38" s="25" t="str">
        <f t="shared" si="2"/>
        <v>#N/A</v>
      </c>
      <c r="G38" s="25" t="s">
        <v>651</v>
      </c>
      <c r="H38" s="25">
        <v>1.0</v>
      </c>
      <c r="I38" s="25" t="s">
        <v>674</v>
      </c>
      <c r="J38" s="25" t="s">
        <v>614</v>
      </c>
      <c r="K38" s="25" t="s">
        <v>653</v>
      </c>
      <c r="L38" s="25">
        <v>2.0</v>
      </c>
      <c r="M38" s="25">
        <v>1.3</v>
      </c>
      <c r="N38" s="25">
        <v>6.0</v>
      </c>
      <c r="O38" s="25">
        <v>0.0479</v>
      </c>
      <c r="P38" s="25">
        <v>1.23514</v>
      </c>
      <c r="Q38" s="25">
        <v>0.01822</v>
      </c>
      <c r="R38" s="25">
        <v>5.9477</v>
      </c>
    </row>
    <row r="39">
      <c r="A39" s="25">
        <v>5.2</v>
      </c>
      <c r="B39" s="25" t="s">
        <v>649</v>
      </c>
      <c r="C39" s="25"/>
      <c r="D39" s="25" t="s">
        <v>650</v>
      </c>
      <c r="E39" s="25" t="s">
        <v>649</v>
      </c>
      <c r="F39" s="25" t="str">
        <f t="shared" si="2"/>
        <v>edu_spending_perc_gdp</v>
      </c>
      <c r="G39" s="25" t="s">
        <v>651</v>
      </c>
      <c r="H39" s="25">
        <v>1.0</v>
      </c>
      <c r="I39" s="25" t="s">
        <v>652</v>
      </c>
      <c r="J39" s="25" t="s">
        <v>614</v>
      </c>
      <c r="K39" s="25" t="s">
        <v>653</v>
      </c>
      <c r="L39" s="25">
        <v>2.0</v>
      </c>
      <c r="M39" s="25">
        <v>0.15</v>
      </c>
      <c r="N39" s="25">
        <v>0.15</v>
      </c>
      <c r="O39" s="25">
        <v>0.003652179092</v>
      </c>
      <c r="P39" s="25">
        <v>0.1419515991</v>
      </c>
      <c r="Q39" s="25">
        <v>0.003652179092</v>
      </c>
      <c r="R39" s="25">
        <v>0.1419515991</v>
      </c>
    </row>
    <row r="40">
      <c r="A40" s="25">
        <v>5.3</v>
      </c>
      <c r="B40" s="25" t="s">
        <v>654</v>
      </c>
      <c r="C40" s="25"/>
      <c r="D40" s="25" t="s">
        <v>655</v>
      </c>
      <c r="E40" s="25" t="s">
        <v>654</v>
      </c>
      <c r="F40" s="25" t="str">
        <f t="shared" si="2"/>
        <v>health_spending_perc_gdp</v>
      </c>
      <c r="G40" s="25" t="s">
        <v>651</v>
      </c>
      <c r="H40" s="25">
        <v>1.0</v>
      </c>
      <c r="I40" s="25" t="s">
        <v>656</v>
      </c>
      <c r="J40" s="25" t="s">
        <v>614</v>
      </c>
      <c r="K40" s="25" t="s">
        <v>653</v>
      </c>
      <c r="L40" s="25">
        <v>2.0</v>
      </c>
      <c r="M40" s="25">
        <v>0.13</v>
      </c>
      <c r="N40" s="25">
        <v>0.17</v>
      </c>
      <c r="O40" s="25">
        <v>0.00219938285</v>
      </c>
      <c r="P40" s="25">
        <v>0.1260111809</v>
      </c>
      <c r="Q40" s="25">
        <v>0.0011027231</v>
      </c>
      <c r="R40" s="25">
        <v>0.1666817633</v>
      </c>
    </row>
    <row r="41">
      <c r="A41" s="25">
        <v>5.4</v>
      </c>
      <c r="B41" s="25" t="s">
        <v>668</v>
      </c>
      <c r="C41" s="25"/>
      <c r="D41" s="25" t="s">
        <v>675</v>
      </c>
      <c r="E41" s="25" t="s">
        <v>668</v>
      </c>
      <c r="F41" s="25" t="str">
        <f t="shared" si="2"/>
        <v>#N/A</v>
      </c>
      <c r="G41" s="25" t="s">
        <v>612</v>
      </c>
      <c r="H41" s="25">
        <v>1.0</v>
      </c>
      <c r="I41" s="25" t="s">
        <v>676</v>
      </c>
      <c r="J41" s="25" t="s">
        <v>594</v>
      </c>
      <c r="K41" s="25" t="s">
        <v>664</v>
      </c>
      <c r="L41" s="25">
        <v>1.0</v>
      </c>
      <c r="M41" s="25">
        <v>0.5</v>
      </c>
      <c r="N41" s="25">
        <v>0.6</v>
      </c>
      <c r="O41" s="25">
        <v>-0.4459961832</v>
      </c>
      <c r="P41" s="25">
        <v>0.4043347438</v>
      </c>
      <c r="Q41" s="25">
        <v>-0.4459961832</v>
      </c>
      <c r="R41" s="25">
        <v>0.5265850462</v>
      </c>
    </row>
    <row r="42">
      <c r="A42" s="25">
        <v>5.5</v>
      </c>
      <c r="B42" s="25" t="s">
        <v>661</v>
      </c>
      <c r="C42" s="25"/>
      <c r="D42" s="25" t="s">
        <v>662</v>
      </c>
      <c r="E42" s="25" t="s">
        <v>661</v>
      </c>
      <c r="F42" s="25" t="str">
        <f t="shared" si="2"/>
        <v>edu_spending_perc_net_interest</v>
      </c>
      <c r="G42" s="25" t="s">
        <v>612</v>
      </c>
      <c r="H42" s="25">
        <v>1.0</v>
      </c>
      <c r="I42" s="25" t="s">
        <v>663</v>
      </c>
      <c r="J42" s="25" t="s">
        <v>594</v>
      </c>
      <c r="K42" s="25" t="s">
        <v>664</v>
      </c>
      <c r="L42" s="25">
        <v>2.0</v>
      </c>
      <c r="M42" s="25">
        <v>6.5</v>
      </c>
      <c r="N42" s="25">
        <v>6.5</v>
      </c>
      <c r="O42" s="25">
        <v>-2.956381722</v>
      </c>
      <c r="P42" s="25">
        <v>6.477785642</v>
      </c>
      <c r="Q42" s="25">
        <v>-3.032153459</v>
      </c>
      <c r="R42" s="25">
        <v>6.477785642</v>
      </c>
    </row>
    <row r="43">
      <c r="A43" s="25">
        <v>5.6</v>
      </c>
      <c r="B43" s="25" t="s">
        <v>665</v>
      </c>
      <c r="C43" s="25"/>
      <c r="D43" s="25" t="s">
        <v>666</v>
      </c>
      <c r="E43" s="25" t="s">
        <v>665</v>
      </c>
      <c r="F43" s="25" t="str">
        <f t="shared" si="2"/>
        <v>health_spending_perc_net_interest</v>
      </c>
      <c r="G43" s="25" t="s">
        <v>612</v>
      </c>
      <c r="H43" s="25">
        <v>1.0</v>
      </c>
      <c r="I43" s="25" t="s">
        <v>667</v>
      </c>
      <c r="J43" s="25" t="s">
        <v>594</v>
      </c>
      <c r="K43" s="25" t="s">
        <v>664</v>
      </c>
      <c r="L43" s="25">
        <v>1.0</v>
      </c>
      <c r="M43" s="25">
        <v>9.0</v>
      </c>
      <c r="N43" s="25">
        <v>9.0</v>
      </c>
      <c r="O43" s="25">
        <v>-3.914492688</v>
      </c>
      <c r="P43" s="25">
        <v>8.821135405</v>
      </c>
      <c r="Q43" s="25">
        <v>-4.521192692</v>
      </c>
      <c r="R43" s="25">
        <v>8.821135405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38"/>
    <col customWidth="1" min="4" max="4" width="21.0"/>
    <col customWidth="1" min="5" max="5" width="39.38"/>
    <col customWidth="1" min="6" max="6" width="35.38"/>
    <col customWidth="1" min="7" max="7" width="50.13"/>
    <col customWidth="1" min="8" max="8" width="41.63"/>
  </cols>
  <sheetData>
    <row r="1">
      <c r="A1" s="23" t="s">
        <v>677</v>
      </c>
      <c r="B1" s="23" t="s">
        <v>678</v>
      </c>
      <c r="C1" s="23" t="s">
        <v>679</v>
      </c>
      <c r="D1" s="23" t="s">
        <v>680</v>
      </c>
      <c r="E1" s="23" t="s">
        <v>681</v>
      </c>
      <c r="F1" s="23" t="s">
        <v>682</v>
      </c>
      <c r="G1" s="23" t="s">
        <v>683</v>
      </c>
      <c r="H1" s="23" t="s">
        <v>684</v>
      </c>
      <c r="I1" s="27" t="s">
        <v>685</v>
      </c>
    </row>
    <row r="2">
      <c r="A2" s="23" t="s">
        <v>686</v>
      </c>
      <c r="B2" s="23">
        <v>1.02719</v>
      </c>
      <c r="D2" s="23">
        <v>0.784812</v>
      </c>
      <c r="E2" s="28">
        <v>0.015560936</v>
      </c>
      <c r="F2" s="23">
        <v>0.487102</v>
      </c>
      <c r="G2" s="23">
        <v>0.144289</v>
      </c>
      <c r="H2" s="23">
        <v>0.005729643</v>
      </c>
      <c r="I2" s="29">
        <v>0.021290579</v>
      </c>
    </row>
    <row r="3">
      <c r="A3" s="23" t="s">
        <v>687</v>
      </c>
      <c r="B3" s="23">
        <v>26.3</v>
      </c>
      <c r="C3" s="23">
        <v>9.65</v>
      </c>
      <c r="E3" s="30"/>
    </row>
    <row r="4">
      <c r="A4" s="23" t="s">
        <v>688</v>
      </c>
      <c r="B4" s="23">
        <v>0.711</v>
      </c>
      <c r="D4" s="23">
        <v>0.219198</v>
      </c>
      <c r="E4" s="28">
        <v>0.006248236</v>
      </c>
      <c r="F4" s="23">
        <v>0.303349</v>
      </c>
      <c r="G4" s="23">
        <v>0.101791</v>
      </c>
      <c r="H4" s="23">
        <v>0.004018001</v>
      </c>
      <c r="I4" s="29">
        <v>0.010266237000000001</v>
      </c>
    </row>
    <row r="5">
      <c r="A5" s="23" t="s">
        <v>689</v>
      </c>
      <c r="B5" s="23">
        <v>17.6</v>
      </c>
      <c r="C5" s="23">
        <v>5.33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690</v>
      </c>
      <c r="B1" s="23" t="s">
        <v>691</v>
      </c>
      <c r="C1" s="23" t="s">
        <v>692</v>
      </c>
    </row>
    <row r="2">
      <c r="A2" s="31">
        <v>45292.0</v>
      </c>
      <c r="B2" s="23">
        <v>71.7</v>
      </c>
      <c r="C2" s="23">
        <v>755.7</v>
      </c>
    </row>
    <row r="3">
      <c r="A3" s="31">
        <v>45293.0</v>
      </c>
      <c r="B3" s="23">
        <v>70.4</v>
      </c>
      <c r="C3" s="23">
        <v>767.6</v>
      </c>
    </row>
    <row r="4">
      <c r="A4" s="31">
        <v>45294.0</v>
      </c>
      <c r="B4" s="23">
        <v>72.2</v>
      </c>
      <c r="C4" s="23">
        <v>756.6</v>
      </c>
    </row>
    <row r="5">
      <c r="A5" s="31">
        <v>45295.0</v>
      </c>
      <c r="B5" s="23">
        <v>71.2</v>
      </c>
      <c r="C5" s="23">
        <v>771.5</v>
      </c>
    </row>
    <row r="6">
      <c r="A6" s="31">
        <v>45296.0</v>
      </c>
      <c r="B6" s="23">
        <v>73.1</v>
      </c>
      <c r="C6" s="23">
        <v>764.8</v>
      </c>
    </row>
    <row r="7">
      <c r="A7" s="31">
        <v>45299.0</v>
      </c>
      <c r="B7" s="23">
        <v>70.2</v>
      </c>
      <c r="C7" s="23">
        <v>745.3</v>
      </c>
    </row>
    <row r="8">
      <c r="A8" s="31">
        <v>45300.0</v>
      </c>
      <c r="B8" s="23">
        <v>72.1</v>
      </c>
      <c r="C8" s="23">
        <v>751.3</v>
      </c>
    </row>
    <row r="9">
      <c r="A9" s="32">
        <v>45301.0</v>
      </c>
      <c r="B9" s="23">
        <v>71.7</v>
      </c>
      <c r="C9" s="23">
        <v>755.2</v>
      </c>
    </row>
    <row r="10">
      <c r="A10" s="32">
        <v>45302.0</v>
      </c>
      <c r="B10" s="23">
        <v>72.8</v>
      </c>
      <c r="C10" s="23">
        <v>763.3</v>
      </c>
    </row>
    <row r="11">
      <c r="A11" s="32">
        <v>45303.0</v>
      </c>
      <c r="B11" s="23">
        <v>73.1</v>
      </c>
      <c r="C11" s="23">
        <v>776.0</v>
      </c>
    </row>
    <row r="12">
      <c r="A12" s="32">
        <v>45306.0</v>
      </c>
      <c r="B12" s="23">
        <v>72.8</v>
      </c>
      <c r="C12" s="23">
        <v>772.0</v>
      </c>
    </row>
    <row r="13">
      <c r="A13" s="32">
        <v>45307.0</v>
      </c>
      <c r="B13" s="23">
        <v>73.0</v>
      </c>
      <c r="C13" s="23">
        <v>776.3</v>
      </c>
    </row>
    <row r="14">
      <c r="A14" s="32">
        <v>45308.0</v>
      </c>
      <c r="B14" s="23">
        <v>72.4</v>
      </c>
      <c r="C14" s="23">
        <v>771.1</v>
      </c>
    </row>
    <row r="15">
      <c r="A15" s="32">
        <v>45309.0</v>
      </c>
      <c r="B15" s="23">
        <v>73.9</v>
      </c>
      <c r="C15" s="23">
        <v>787.4</v>
      </c>
    </row>
    <row r="16">
      <c r="A16" s="32">
        <v>45310.0</v>
      </c>
      <c r="B16" s="23">
        <v>73.7</v>
      </c>
      <c r="C16" s="23">
        <v>792.9</v>
      </c>
    </row>
    <row r="17">
      <c r="A17" s="32">
        <v>45313.0</v>
      </c>
      <c r="B17" s="23">
        <v>74.9</v>
      </c>
      <c r="C17" s="23">
        <v>802.8</v>
      </c>
    </row>
    <row r="18">
      <c r="A18" s="32">
        <v>45314.0</v>
      </c>
      <c r="B18" s="23">
        <v>76.6</v>
      </c>
      <c r="C18" s="23">
        <v>809.3</v>
      </c>
    </row>
    <row r="19">
      <c r="A19" s="32">
        <v>45315.0</v>
      </c>
      <c r="B19" s="23">
        <v>77.0</v>
      </c>
      <c r="C19" s="23">
        <v>814.6</v>
      </c>
    </row>
    <row r="20">
      <c r="A20" s="32">
        <v>45316.0</v>
      </c>
      <c r="B20" s="23">
        <v>78.5</v>
      </c>
      <c r="C20" s="23">
        <v>822.5</v>
      </c>
    </row>
    <row r="21">
      <c r="A21" s="32">
        <v>45317.0</v>
      </c>
      <c r="B21" s="23">
        <v>79.3</v>
      </c>
      <c r="C21" s="23">
        <v>836.9</v>
      </c>
    </row>
    <row r="22">
      <c r="A22" s="32">
        <v>45320.0</v>
      </c>
      <c r="B22" s="23">
        <v>79.1</v>
      </c>
      <c r="C22" s="23">
        <v>842.9</v>
      </c>
    </row>
    <row r="23">
      <c r="A23" s="32">
        <v>45321.0</v>
      </c>
      <c r="B23" s="23">
        <v>79.5</v>
      </c>
      <c r="C23" s="23">
        <v>840.0</v>
      </c>
    </row>
    <row r="24">
      <c r="A24" s="32">
        <v>45322.0</v>
      </c>
      <c r="B24" s="23">
        <v>78.2</v>
      </c>
      <c r="C24" s="23">
        <v>819.1</v>
      </c>
    </row>
    <row r="25">
      <c r="A25" s="31">
        <v>45323.0</v>
      </c>
      <c r="B25" s="23">
        <v>76.7</v>
      </c>
      <c r="C25" s="23">
        <v>808.0</v>
      </c>
    </row>
    <row r="26">
      <c r="A26" s="31">
        <v>45324.0</v>
      </c>
      <c r="B26" s="23">
        <v>74.3</v>
      </c>
      <c r="C26" s="23">
        <v>793.0</v>
      </c>
    </row>
    <row r="27">
      <c r="A27" s="31">
        <v>45327.0</v>
      </c>
      <c r="B27" s="23">
        <v>74.5</v>
      </c>
      <c r="C27" s="23">
        <v>791.6</v>
      </c>
    </row>
    <row r="28">
      <c r="A28" s="31">
        <v>45328.0</v>
      </c>
      <c r="B28" s="23">
        <v>75.4</v>
      </c>
      <c r="C28" s="23">
        <v>801.2</v>
      </c>
    </row>
    <row r="29">
      <c r="A29" s="31">
        <v>45329.0</v>
      </c>
      <c r="B29" s="23">
        <v>76.0</v>
      </c>
      <c r="C29" s="23">
        <v>813.0</v>
      </c>
    </row>
    <row r="30">
      <c r="A30" s="31">
        <v>45330.0</v>
      </c>
      <c r="B30" s="23">
        <v>78.2</v>
      </c>
      <c r="C30" s="23">
        <v>830.4</v>
      </c>
    </row>
    <row r="31">
      <c r="A31" s="31">
        <v>45331.0</v>
      </c>
      <c r="B31" s="23">
        <v>78.8</v>
      </c>
      <c r="C31" s="23">
        <v>838.9</v>
      </c>
    </row>
    <row r="32">
      <c r="A32" s="32">
        <v>45334.0</v>
      </c>
      <c r="B32" s="23">
        <v>78.9</v>
      </c>
      <c r="C32" s="23">
        <v>842.9</v>
      </c>
    </row>
    <row r="33">
      <c r="A33" s="32">
        <v>45335.0</v>
      </c>
      <c r="B33" s="23">
        <v>79.7</v>
      </c>
      <c r="C33" s="23">
        <v>853.0</v>
      </c>
    </row>
    <row r="34">
      <c r="A34" s="32">
        <v>45336.0</v>
      </c>
      <c r="B34" s="23">
        <v>79.0</v>
      </c>
      <c r="C34" s="23">
        <v>850.1</v>
      </c>
    </row>
    <row r="35">
      <c r="A35" s="32">
        <v>45337.0</v>
      </c>
      <c r="B35" s="23">
        <v>79.9</v>
      </c>
      <c r="C35" s="23">
        <v>837.4</v>
      </c>
    </row>
    <row r="36">
      <c r="A36" s="32">
        <v>45338.0</v>
      </c>
      <c r="B36" s="23">
        <v>80.7</v>
      </c>
      <c r="C36" s="23">
        <v>845.3</v>
      </c>
    </row>
    <row r="37">
      <c r="A37" s="32">
        <v>45341.0</v>
      </c>
      <c r="B37" s="23">
        <v>80.9</v>
      </c>
      <c r="C37" s="23">
        <v>845.9</v>
      </c>
    </row>
    <row r="38">
      <c r="A38" s="32">
        <v>45342.0</v>
      </c>
      <c r="B38" s="23">
        <v>79.9</v>
      </c>
      <c r="C38" s="23">
        <v>824.4</v>
      </c>
    </row>
    <row r="39">
      <c r="A39" s="32">
        <v>45343.0</v>
      </c>
      <c r="B39" s="23">
        <v>80.3</v>
      </c>
      <c r="C39" s="23">
        <v>828.6</v>
      </c>
    </row>
    <row r="40">
      <c r="A40" s="32">
        <v>45344.0</v>
      </c>
      <c r="B40" s="23">
        <v>81.1</v>
      </c>
      <c r="C40" s="23">
        <v>834.4</v>
      </c>
    </row>
    <row r="41">
      <c r="A41" s="32">
        <v>45345.0</v>
      </c>
      <c r="B41" s="23">
        <v>79.4</v>
      </c>
      <c r="C41" s="23">
        <v>830.2</v>
      </c>
    </row>
    <row r="42">
      <c r="A42" s="32">
        <v>45348.0</v>
      </c>
      <c r="B42" s="23">
        <v>79.7</v>
      </c>
      <c r="C42" s="23">
        <v>829.1</v>
      </c>
    </row>
    <row r="43">
      <c r="A43" s="32">
        <v>45349.0</v>
      </c>
      <c r="B43" s="23">
        <v>80.4</v>
      </c>
      <c r="C43" s="23">
        <v>845.9</v>
      </c>
    </row>
    <row r="44">
      <c r="A44" s="32">
        <v>45350.0</v>
      </c>
      <c r="B44" s="23">
        <v>80.4</v>
      </c>
      <c r="C44" s="23">
        <v>841.3</v>
      </c>
    </row>
    <row r="45">
      <c r="A45" s="32">
        <v>45351.0</v>
      </c>
      <c r="B45" s="23">
        <v>80.7</v>
      </c>
      <c r="C45" s="23">
        <v>848.3</v>
      </c>
    </row>
    <row r="46">
      <c r="A46" s="31">
        <v>45352.0</v>
      </c>
      <c r="B46" s="23">
        <v>81.3</v>
      </c>
      <c r="C46" s="23">
        <v>855.8</v>
      </c>
    </row>
    <row r="47">
      <c r="A47" s="31">
        <v>45355.0</v>
      </c>
      <c r="B47" s="23">
        <v>81.3</v>
      </c>
      <c r="C47" s="23">
        <v>862.4</v>
      </c>
    </row>
    <row r="48">
      <c r="A48" s="31">
        <v>45356.0</v>
      </c>
      <c r="B48" s="23">
        <v>80.6</v>
      </c>
      <c r="C48" s="23">
        <v>852.1</v>
      </c>
    </row>
    <row r="49">
      <c r="A49" s="31">
        <v>45357.0</v>
      </c>
      <c r="B49" s="23">
        <v>81.7</v>
      </c>
      <c r="C49" s="23">
        <v>818.5</v>
      </c>
    </row>
    <row r="50">
      <c r="A50" s="31">
        <v>45358.0</v>
      </c>
      <c r="B50" s="23">
        <v>80.9</v>
      </c>
      <c r="C50" s="23">
        <v>831.2</v>
      </c>
    </row>
    <row r="51">
      <c r="A51" s="31">
        <v>45359.0</v>
      </c>
      <c r="B51" s="23">
        <v>80.1</v>
      </c>
      <c r="C51" s="23">
        <v>834.7</v>
      </c>
    </row>
    <row r="52">
      <c r="A52" s="32">
        <v>45362.0</v>
      </c>
      <c r="B52" s="23">
        <v>80.1</v>
      </c>
      <c r="C52" s="23">
        <v>835.5</v>
      </c>
    </row>
    <row r="53">
      <c r="A53" s="32">
        <v>45363.0</v>
      </c>
      <c r="B53" s="23">
        <v>80.0</v>
      </c>
      <c r="C53" s="23">
        <v>843.2</v>
      </c>
    </row>
    <row r="54">
      <c r="A54" s="32">
        <v>45364.0</v>
      </c>
      <c r="B54" s="23">
        <v>81.3</v>
      </c>
      <c r="C54" s="23">
        <v>852.0</v>
      </c>
    </row>
    <row r="55">
      <c r="A55" s="32">
        <v>45365.0</v>
      </c>
      <c r="B55" s="23">
        <v>82.9</v>
      </c>
      <c r="C55" s="23">
        <v>862.2</v>
      </c>
    </row>
    <row r="56">
      <c r="A56" s="32">
        <v>45366.0</v>
      </c>
      <c r="B56" s="23">
        <v>82.8</v>
      </c>
      <c r="C56" s="23">
        <v>872.8</v>
      </c>
    </row>
    <row r="57">
      <c r="A57" s="32">
        <v>45369.0</v>
      </c>
      <c r="B57" s="23">
        <v>84.2</v>
      </c>
      <c r="C57" s="23">
        <v>883.0</v>
      </c>
    </row>
    <row r="58">
      <c r="A58" s="32">
        <v>45370.0</v>
      </c>
      <c r="B58" s="23">
        <v>84.9</v>
      </c>
      <c r="C58" s="23">
        <v>888.8</v>
      </c>
    </row>
    <row r="59">
      <c r="A59" s="32">
        <v>45371.0</v>
      </c>
      <c r="B59" s="23">
        <v>83.4</v>
      </c>
      <c r="C59" s="23">
        <v>888.3</v>
      </c>
    </row>
    <row r="60">
      <c r="A60" s="32">
        <v>45372.0</v>
      </c>
      <c r="B60" s="23">
        <v>82.8</v>
      </c>
      <c r="C60" s="23">
        <v>888.5</v>
      </c>
    </row>
    <row r="61">
      <c r="A61" s="32">
        <v>45373.0</v>
      </c>
      <c r="B61" s="23">
        <v>82.5</v>
      </c>
      <c r="C61" s="23">
        <v>901.3</v>
      </c>
    </row>
    <row r="62">
      <c r="A62" s="32">
        <v>45376.0</v>
      </c>
      <c r="B62" s="23">
        <v>83.8</v>
      </c>
      <c r="C62" s="23">
        <v>905.7</v>
      </c>
    </row>
    <row r="63">
      <c r="A63" s="32">
        <v>45377.0</v>
      </c>
      <c r="B63" s="23">
        <v>83.5</v>
      </c>
      <c r="C63" s="23">
        <v>895.5</v>
      </c>
    </row>
    <row r="64">
      <c r="A64" s="32">
        <v>45378.0</v>
      </c>
      <c r="B64" s="23">
        <v>83.1</v>
      </c>
      <c r="C64" s="23">
        <v>895.0</v>
      </c>
    </row>
    <row r="65">
      <c r="A65" s="32">
        <v>45379.0</v>
      </c>
      <c r="B65" s="23">
        <v>84.6</v>
      </c>
      <c r="C65" s="23">
        <v>908.9</v>
      </c>
    </row>
    <row r="66">
      <c r="A66" s="32">
        <v>45380.0</v>
      </c>
      <c r="B66" s="23">
        <v>84.6</v>
      </c>
      <c r="C66" s="23">
        <v>908.9</v>
      </c>
    </row>
    <row r="67">
      <c r="A67" s="31">
        <v>45383.0</v>
      </c>
      <c r="B67" s="23">
        <v>84.7</v>
      </c>
      <c r="C67" s="23">
        <v>929.1</v>
      </c>
    </row>
    <row r="68">
      <c r="A68" s="31">
        <v>45384.0</v>
      </c>
      <c r="B68" s="23">
        <v>86.2</v>
      </c>
      <c r="C68" s="23">
        <v>938.3</v>
      </c>
    </row>
    <row r="69">
      <c r="A69" s="31">
        <v>45385.0</v>
      </c>
      <c r="B69" s="23">
        <v>87.3</v>
      </c>
      <c r="C69" s="23">
        <v>940.6</v>
      </c>
    </row>
    <row r="70">
      <c r="A70" s="31">
        <v>45386.0</v>
      </c>
      <c r="B70" s="23">
        <v>87.7</v>
      </c>
      <c r="C70" s="23">
        <v>945.2</v>
      </c>
    </row>
    <row r="71">
      <c r="A71" s="31">
        <v>45387.0</v>
      </c>
      <c r="B71" s="23">
        <v>89.1</v>
      </c>
      <c r="C71" s="23">
        <v>946.4</v>
      </c>
    </row>
    <row r="72">
      <c r="A72" s="31">
        <v>45390.0</v>
      </c>
      <c r="B72" s="23">
        <v>88.2</v>
      </c>
      <c r="C72" s="23">
        <v>935.5</v>
      </c>
    </row>
    <row r="73">
      <c r="A73" s="31">
        <v>45391.0</v>
      </c>
      <c r="B73" s="23">
        <v>87.7</v>
      </c>
      <c r="C73" s="23">
        <v>936.7</v>
      </c>
    </row>
    <row r="74">
      <c r="A74" s="32">
        <v>45392.0</v>
      </c>
      <c r="B74" s="23">
        <v>87.7</v>
      </c>
      <c r="C74" s="23">
        <v>936.4</v>
      </c>
    </row>
    <row r="75">
      <c r="A75" s="32">
        <v>45393.0</v>
      </c>
      <c r="B75" s="23">
        <v>87.6</v>
      </c>
      <c r="C75" s="23">
        <v>946.9</v>
      </c>
    </row>
    <row r="76">
      <c r="A76" s="32">
        <v>45394.0</v>
      </c>
      <c r="B76" s="23">
        <v>88.7</v>
      </c>
      <c r="C76" s="23">
        <v>951.0</v>
      </c>
    </row>
    <row r="77">
      <c r="A77" s="32">
        <v>45397.0</v>
      </c>
      <c r="B77" s="23">
        <v>87.5</v>
      </c>
      <c r="C77" s="23">
        <v>950.3</v>
      </c>
    </row>
    <row r="78">
      <c r="A78" s="32">
        <v>45398.0</v>
      </c>
      <c r="B78" s="23">
        <v>87.7</v>
      </c>
      <c r="C78" s="23">
        <v>955.9</v>
      </c>
    </row>
    <row r="79">
      <c r="A79" s="32">
        <v>45399.0</v>
      </c>
      <c r="B79" s="23">
        <v>85.7</v>
      </c>
      <c r="C79" s="23">
        <v>945.6</v>
      </c>
    </row>
    <row r="80">
      <c r="A80" s="32">
        <v>45400.0</v>
      </c>
      <c r="B80" s="23">
        <v>84.8</v>
      </c>
      <c r="C80" s="23">
        <v>922.5</v>
      </c>
    </row>
    <row r="81">
      <c r="A81" s="32">
        <v>45401.0</v>
      </c>
      <c r="B81" s="23">
        <v>84.8</v>
      </c>
      <c r="C81" s="23">
        <v>924.3</v>
      </c>
    </row>
    <row r="82">
      <c r="A82" s="32">
        <v>45404.0</v>
      </c>
      <c r="B82" s="23">
        <v>84.5</v>
      </c>
      <c r="C82" s="23">
        <v>922.6</v>
      </c>
    </row>
    <row r="83">
      <c r="A83" s="32">
        <v>45405.0</v>
      </c>
      <c r="B83" s="23">
        <v>85.5</v>
      </c>
      <c r="C83" s="23">
        <v>926.7</v>
      </c>
    </row>
    <row r="84">
      <c r="A84" s="32">
        <v>45406.0</v>
      </c>
      <c r="B84" s="23">
        <v>85.7</v>
      </c>
      <c r="C84" s="23">
        <v>934.1</v>
      </c>
    </row>
    <row r="85">
      <c r="A85" s="32">
        <v>45407.0</v>
      </c>
      <c r="B85" s="23">
        <v>85.7</v>
      </c>
      <c r="C85" s="23">
        <v>941.4</v>
      </c>
    </row>
    <row r="86">
      <c r="A86" s="32">
        <v>45408.0</v>
      </c>
      <c r="B86" s="23">
        <v>86.9</v>
      </c>
      <c r="C86" s="23">
        <v>946.5</v>
      </c>
    </row>
    <row r="87">
      <c r="A87" s="32">
        <v>45411.0</v>
      </c>
      <c r="B87" s="23">
        <v>85.6</v>
      </c>
      <c r="C87" s="23">
        <v>942.8</v>
      </c>
    </row>
    <row r="88">
      <c r="A88" s="32">
        <v>45412.0</v>
      </c>
      <c r="B88" s="23">
        <v>85.1</v>
      </c>
      <c r="C88" s="23">
        <v>933.1</v>
      </c>
    </row>
    <row r="89">
      <c r="A89" s="33">
        <v>45413.0</v>
      </c>
      <c r="B89" s="23">
        <v>82.4</v>
      </c>
      <c r="C89" s="23">
        <v>908.7</v>
      </c>
    </row>
    <row r="90">
      <c r="A90" s="33">
        <v>45414.0</v>
      </c>
      <c r="B90" s="23">
        <v>81.5</v>
      </c>
      <c r="C90" s="23">
        <v>897.7</v>
      </c>
    </row>
    <row r="91">
      <c r="A91" s="33">
        <v>45415.0</v>
      </c>
      <c r="B91" s="23">
        <v>80.6</v>
      </c>
      <c r="C91" s="23">
        <v>890.4</v>
      </c>
    </row>
    <row r="92">
      <c r="A92" s="33">
        <v>45418.0</v>
      </c>
      <c r="B92" s="23">
        <v>80.8</v>
      </c>
      <c r="C92" s="23">
        <v>883.5</v>
      </c>
    </row>
    <row r="93">
      <c r="A93" s="33">
        <v>45419.0</v>
      </c>
      <c r="B93" s="23">
        <v>80.4</v>
      </c>
      <c r="C93" s="23">
        <v>877.2</v>
      </c>
    </row>
    <row r="94">
      <c r="A94" s="33">
        <v>45420.0</v>
      </c>
      <c r="B94" s="23">
        <v>80.7</v>
      </c>
      <c r="C94" s="23">
        <v>859.1</v>
      </c>
    </row>
    <row r="95">
      <c r="A95" s="33">
        <v>45421.0</v>
      </c>
      <c r="B95" s="23">
        <v>81.2</v>
      </c>
      <c r="C95" s="23">
        <v>873.5</v>
      </c>
    </row>
    <row r="96">
      <c r="A96" s="34">
        <v>45422.0</v>
      </c>
      <c r="B96" s="23">
        <v>80.6</v>
      </c>
      <c r="C96" s="23">
        <v>864.5</v>
      </c>
    </row>
    <row r="97">
      <c r="A97" s="34">
        <v>45425.0</v>
      </c>
      <c r="B97" s="23">
        <v>80.8</v>
      </c>
      <c r="C97" s="23">
        <v>857.6</v>
      </c>
    </row>
    <row r="98">
      <c r="A98" s="34">
        <v>45426.0</v>
      </c>
      <c r="B98" s="23">
        <v>79.6</v>
      </c>
      <c r="C98" s="23">
        <v>849.9</v>
      </c>
    </row>
    <row r="99">
      <c r="A99" s="34">
        <v>45427.0</v>
      </c>
      <c r="B99" s="23">
        <v>79.6</v>
      </c>
      <c r="C99" s="23">
        <v>849.7</v>
      </c>
    </row>
    <row r="100">
      <c r="A100" s="34">
        <v>45428.0</v>
      </c>
      <c r="B100" s="23">
        <v>80.6</v>
      </c>
      <c r="C100" s="23">
        <v>860.2</v>
      </c>
    </row>
    <row r="101">
      <c r="A101" s="34">
        <v>45429.0</v>
      </c>
      <c r="B101" s="23">
        <v>81.1</v>
      </c>
      <c r="C101" s="23">
        <v>871.1</v>
      </c>
    </row>
    <row r="102">
      <c r="A102" s="34">
        <v>45432.0</v>
      </c>
      <c r="B102" s="23">
        <v>81.0</v>
      </c>
      <c r="C102" s="23">
        <v>870.5</v>
      </c>
    </row>
    <row r="103">
      <c r="A103" s="34">
        <v>45433.0</v>
      </c>
      <c r="B103" s="23">
        <v>80.2</v>
      </c>
      <c r="C103" s="23">
        <v>858.0</v>
      </c>
    </row>
    <row r="104">
      <c r="A104" s="34">
        <v>45434.0</v>
      </c>
      <c r="B104" s="23">
        <v>79.2</v>
      </c>
      <c r="C104" s="23">
        <v>846.5</v>
      </c>
    </row>
    <row r="105">
      <c r="A105" s="34">
        <v>45435.0</v>
      </c>
      <c r="B105" s="23">
        <v>78.2</v>
      </c>
      <c r="C105" s="23">
        <v>847.3</v>
      </c>
    </row>
    <row r="106">
      <c r="A106" s="34">
        <v>45436.0</v>
      </c>
      <c r="B106" s="23">
        <v>78.5</v>
      </c>
      <c r="C106" s="23">
        <v>844.9</v>
      </c>
    </row>
    <row r="107">
      <c r="A107" s="34">
        <v>45439.0</v>
      </c>
      <c r="B107" s="23">
        <v>78.7</v>
      </c>
      <c r="C107" s="23">
        <v>848.4</v>
      </c>
    </row>
    <row r="108">
      <c r="A108" s="34">
        <v>45440.0</v>
      </c>
      <c r="B108" s="23">
        <v>80.9</v>
      </c>
      <c r="C108" s="23">
        <v>850.1</v>
      </c>
    </row>
    <row r="109">
      <c r="A109" s="34">
        <v>45441.0</v>
      </c>
      <c r="B109" s="23">
        <v>80.6</v>
      </c>
      <c r="C109" s="23">
        <v>840.4</v>
      </c>
    </row>
    <row r="110">
      <c r="A110" s="34">
        <v>45442.0</v>
      </c>
      <c r="B110" s="23">
        <v>79.5</v>
      </c>
      <c r="C110" s="23">
        <v>821.4</v>
      </c>
    </row>
    <row r="111">
      <c r="A111" s="34">
        <v>45443.0</v>
      </c>
      <c r="B111" s="23">
        <v>78.5</v>
      </c>
      <c r="C111" s="23">
        <v>818.5</v>
      </c>
    </row>
    <row r="112">
      <c r="A112" s="31">
        <v>45446.0</v>
      </c>
      <c r="B112" s="23">
        <v>75.4</v>
      </c>
      <c r="C112" s="23">
        <v>803.3</v>
      </c>
    </row>
    <row r="113">
      <c r="A113" s="31">
        <v>45447.0</v>
      </c>
      <c r="B113" s="23">
        <v>74.4</v>
      </c>
      <c r="C113" s="23">
        <v>791.3</v>
      </c>
    </row>
    <row r="114">
      <c r="A114" s="31">
        <v>45448.0</v>
      </c>
      <c r="B114" s="23">
        <v>74.8</v>
      </c>
      <c r="C114" s="23">
        <v>795.3</v>
      </c>
    </row>
    <row r="115">
      <c r="A115" s="31">
        <v>45449.0</v>
      </c>
      <c r="B115" s="23">
        <v>76.7</v>
      </c>
      <c r="C115" s="23">
        <v>805.3</v>
      </c>
    </row>
    <row r="116">
      <c r="A116" s="31">
        <v>45450.0</v>
      </c>
      <c r="B116" s="23">
        <v>76.8</v>
      </c>
      <c r="C116" s="23">
        <v>806.7</v>
      </c>
    </row>
    <row r="117">
      <c r="A117" s="32">
        <v>45453.0</v>
      </c>
      <c r="B117" s="23">
        <v>78.6</v>
      </c>
      <c r="C117" s="23">
        <v>811.4</v>
      </c>
    </row>
    <row r="118">
      <c r="A118" s="32">
        <v>45454.0</v>
      </c>
      <c r="B118" s="23">
        <v>79.0</v>
      </c>
      <c r="C118" s="23">
        <v>817.9</v>
      </c>
    </row>
    <row r="119">
      <c r="A119" s="32">
        <v>45455.0</v>
      </c>
      <c r="B119" s="23">
        <v>79.5</v>
      </c>
      <c r="C119" s="23">
        <v>818.7</v>
      </c>
    </row>
    <row r="120">
      <c r="A120" s="32">
        <v>45456.0</v>
      </c>
      <c r="B120" s="23">
        <v>79.8</v>
      </c>
      <c r="C120" s="23">
        <v>805.2</v>
      </c>
    </row>
    <row r="121">
      <c r="A121" s="32">
        <v>45457.0</v>
      </c>
      <c r="B121" s="23">
        <v>79.8</v>
      </c>
      <c r="C121" s="23">
        <v>811.4</v>
      </c>
    </row>
    <row r="122">
      <c r="A122" s="32">
        <v>45460.0</v>
      </c>
      <c r="B122" s="23">
        <v>81.0</v>
      </c>
      <c r="C122" s="23">
        <v>813.8</v>
      </c>
    </row>
    <row r="123">
      <c r="A123" s="32">
        <v>45461.0</v>
      </c>
      <c r="B123" s="23">
        <v>83.1</v>
      </c>
      <c r="C123" s="23">
        <v>827.5</v>
      </c>
    </row>
    <row r="124">
      <c r="A124" s="32">
        <v>45462.0</v>
      </c>
      <c r="B124" s="23">
        <v>83.4</v>
      </c>
      <c r="C124" s="23">
        <v>832.2</v>
      </c>
    </row>
    <row r="125">
      <c r="A125" s="32">
        <v>45463.0</v>
      </c>
      <c r="B125" s="23">
        <v>83.7</v>
      </c>
      <c r="C125" s="23">
        <v>834.2</v>
      </c>
    </row>
    <row r="126">
      <c r="A126" s="32">
        <v>45464.0</v>
      </c>
      <c r="B126" s="23">
        <v>83.4</v>
      </c>
      <c r="C126" s="23">
        <v>843.9</v>
      </c>
    </row>
    <row r="127">
      <c r="A127" s="32">
        <v>45467.0</v>
      </c>
      <c r="B127" s="23">
        <v>84.0</v>
      </c>
      <c r="C127" s="23">
        <v>841.7</v>
      </c>
    </row>
    <row r="128">
      <c r="A128" s="32">
        <v>45468.0</v>
      </c>
      <c r="B128" s="23">
        <v>83.5</v>
      </c>
      <c r="C128" s="23">
        <v>843.0</v>
      </c>
    </row>
    <row r="129">
      <c r="A129" s="32">
        <v>45469.0</v>
      </c>
      <c r="B129" s="23">
        <v>83.3</v>
      </c>
      <c r="C129" s="23">
        <v>842.5</v>
      </c>
    </row>
    <row r="130">
      <c r="A130" s="32">
        <v>45470.0</v>
      </c>
      <c r="B130" s="23">
        <v>84.3</v>
      </c>
      <c r="C130" s="23">
        <v>848.0</v>
      </c>
    </row>
    <row r="131">
      <c r="A131" s="32">
        <v>45471.0</v>
      </c>
      <c r="B131" s="23">
        <v>84.3</v>
      </c>
      <c r="C131" s="23">
        <v>846.2</v>
      </c>
    </row>
    <row r="132">
      <c r="A132" s="31">
        <v>45474.0</v>
      </c>
      <c r="B132" s="23">
        <v>84.7</v>
      </c>
      <c r="C132" s="23">
        <v>853.9</v>
      </c>
    </row>
    <row r="133">
      <c r="A133" s="31">
        <v>45475.0</v>
      </c>
      <c r="B133" s="23">
        <v>85.0</v>
      </c>
      <c r="C133" s="23">
        <v>867.9</v>
      </c>
    </row>
    <row r="134">
      <c r="A134" s="31">
        <v>45476.0</v>
      </c>
      <c r="B134" s="23">
        <v>85.6</v>
      </c>
      <c r="C134" s="23">
        <v>867.0</v>
      </c>
    </row>
    <row r="135">
      <c r="A135" s="31">
        <v>45477.0</v>
      </c>
      <c r="B135" s="23">
        <v>85.8</v>
      </c>
      <c r="C135" s="23">
        <v>869.9</v>
      </c>
    </row>
    <row r="136">
      <c r="A136" s="31">
        <v>45478.0</v>
      </c>
      <c r="B136" s="23">
        <v>85.6</v>
      </c>
      <c r="C136" s="23">
        <v>872.4</v>
      </c>
    </row>
    <row r="137">
      <c r="A137" s="31">
        <v>45481.0</v>
      </c>
      <c r="B137" s="23">
        <v>84.3</v>
      </c>
      <c r="C137" s="23">
        <v>854.2</v>
      </c>
    </row>
    <row r="138">
      <c r="A138" s="31">
        <v>45482.0</v>
      </c>
      <c r="B138" s="23">
        <v>83.4</v>
      </c>
      <c r="C138" s="23">
        <v>854.2</v>
      </c>
    </row>
    <row r="139">
      <c r="A139" s="32">
        <v>45483.0</v>
      </c>
      <c r="B139" s="23">
        <v>83.8</v>
      </c>
      <c r="C139" s="23">
        <v>846.6</v>
      </c>
    </row>
    <row r="140">
      <c r="A140" s="32">
        <v>45484.0</v>
      </c>
      <c r="B140" s="23">
        <v>84.0</v>
      </c>
      <c r="C140" s="23">
        <v>848.1</v>
      </c>
    </row>
    <row r="141">
      <c r="A141" s="32">
        <v>45485.0</v>
      </c>
      <c r="B141" s="23">
        <v>84.4</v>
      </c>
      <c r="C141" s="23">
        <v>854.2</v>
      </c>
    </row>
    <row r="142">
      <c r="A142" s="32">
        <v>45488.0</v>
      </c>
      <c r="B142" s="23">
        <v>83.8</v>
      </c>
      <c r="C142" s="23">
        <v>844.7</v>
      </c>
    </row>
    <row r="143">
      <c r="A143" s="32">
        <v>45489.0</v>
      </c>
      <c r="B143" s="23">
        <v>83.0</v>
      </c>
      <c r="C143" s="23">
        <v>837.2</v>
      </c>
    </row>
    <row r="144">
      <c r="A144" s="32">
        <v>45490.0</v>
      </c>
      <c r="B144" s="23">
        <v>83.8</v>
      </c>
      <c r="C144" s="23">
        <v>842.1</v>
      </c>
    </row>
    <row r="145">
      <c r="A145" s="32">
        <v>45491.0</v>
      </c>
      <c r="B145" s="23">
        <v>84.1</v>
      </c>
      <c r="C145" s="23">
        <v>847.2</v>
      </c>
    </row>
    <row r="146">
      <c r="A146" s="32">
        <v>45492.0</v>
      </c>
      <c r="B146" s="23">
        <v>82.2</v>
      </c>
      <c r="C146" s="23">
        <v>839.6</v>
      </c>
    </row>
    <row r="147">
      <c r="A147" s="32">
        <v>45495.0</v>
      </c>
      <c r="B147" s="23">
        <v>81.1</v>
      </c>
      <c r="C147" s="23">
        <v>828.2</v>
      </c>
    </row>
    <row r="148">
      <c r="A148" s="32">
        <v>45496.0</v>
      </c>
      <c r="B148" s="23">
        <v>79.4</v>
      </c>
      <c r="C148" s="23">
        <v>820.6</v>
      </c>
    </row>
    <row r="149">
      <c r="A149" s="32">
        <v>45497.0</v>
      </c>
      <c r="B149" s="23">
        <v>80.1</v>
      </c>
      <c r="C149" s="23">
        <v>823.9</v>
      </c>
    </row>
    <row r="150">
      <c r="A150" s="32">
        <v>45498.0</v>
      </c>
      <c r="B150" s="23">
        <v>80.3</v>
      </c>
      <c r="C150" s="23">
        <v>821.0</v>
      </c>
    </row>
    <row r="151">
      <c r="A151" s="32">
        <v>45499.0</v>
      </c>
      <c r="B151" s="23">
        <v>79.1</v>
      </c>
      <c r="C151" s="23">
        <v>827.4</v>
      </c>
    </row>
    <row r="152">
      <c r="A152" s="32">
        <v>45502.0</v>
      </c>
      <c r="B152" s="23">
        <v>78.2</v>
      </c>
      <c r="C152" s="23">
        <v>820.6</v>
      </c>
    </row>
    <row r="153">
      <c r="A153" s="32">
        <v>45503.0</v>
      </c>
      <c r="B153" s="23">
        <v>76.8</v>
      </c>
      <c r="C153" s="23">
        <v>807.9</v>
      </c>
    </row>
    <row r="154">
      <c r="A154" s="32">
        <v>45504.0</v>
      </c>
      <c r="B154" s="23">
        <v>79.2</v>
      </c>
      <c r="C154" s="23">
        <v>828.2</v>
      </c>
    </row>
    <row r="155">
      <c r="A155" s="31">
        <v>45505.0</v>
      </c>
      <c r="B155" s="23">
        <v>78.5</v>
      </c>
      <c r="C155" s="23">
        <v>820.5</v>
      </c>
    </row>
    <row r="156">
      <c r="A156" s="31">
        <v>45506.0</v>
      </c>
      <c r="B156" s="23">
        <v>75.5</v>
      </c>
      <c r="C156" s="23">
        <v>801.7</v>
      </c>
    </row>
    <row r="157">
      <c r="A157" s="31">
        <v>45509.0</v>
      </c>
      <c r="B157" s="23">
        <v>74.9</v>
      </c>
      <c r="C157" s="23">
        <v>782.5</v>
      </c>
    </row>
    <row r="158">
      <c r="A158" s="31">
        <v>45510.0</v>
      </c>
      <c r="B158" s="23">
        <v>74.7</v>
      </c>
      <c r="C158" s="23">
        <v>781.8</v>
      </c>
    </row>
    <row r="159">
      <c r="A159" s="31">
        <v>45511.0</v>
      </c>
      <c r="B159" s="23">
        <v>76.8</v>
      </c>
      <c r="C159" s="23">
        <v>788.6</v>
      </c>
    </row>
    <row r="160">
      <c r="A160" s="31">
        <v>45512.0</v>
      </c>
      <c r="B160" s="23">
        <v>77.9</v>
      </c>
      <c r="C160" s="23">
        <v>804.7</v>
      </c>
    </row>
    <row r="161">
      <c r="A161" s="31">
        <v>45513.0</v>
      </c>
      <c r="B161" s="23">
        <v>78.3</v>
      </c>
      <c r="C161" s="23">
        <v>804.1</v>
      </c>
    </row>
    <row r="162">
      <c r="A162" s="32">
        <v>45516.0</v>
      </c>
      <c r="B162" s="23">
        <v>80.7</v>
      </c>
      <c r="C162" s="23">
        <v>813.2</v>
      </c>
    </row>
    <row r="163">
      <c r="A163" s="32">
        <v>45517.0</v>
      </c>
      <c r="B163" s="23">
        <v>79.8</v>
      </c>
      <c r="C163" s="23">
        <v>812.0</v>
      </c>
    </row>
    <row r="164">
      <c r="A164" s="32">
        <v>45518.0</v>
      </c>
      <c r="B164" s="23">
        <v>79.0</v>
      </c>
      <c r="C164" s="23">
        <v>800.7</v>
      </c>
    </row>
    <row r="165">
      <c r="A165" s="32">
        <v>45519.0</v>
      </c>
      <c r="B165" s="23">
        <v>80.1</v>
      </c>
      <c r="C165" s="23">
        <v>792.4</v>
      </c>
    </row>
    <row r="166">
      <c r="A166" s="32">
        <v>45520.0</v>
      </c>
      <c r="B166" s="23">
        <v>78.6</v>
      </c>
      <c r="C166" s="23">
        <v>790.6</v>
      </c>
    </row>
    <row r="167">
      <c r="A167" s="32">
        <v>45523.0</v>
      </c>
      <c r="B167" s="23">
        <v>77.3</v>
      </c>
      <c r="C167" s="23">
        <v>781.2</v>
      </c>
    </row>
    <row r="168">
      <c r="A168" s="32">
        <v>45524.0</v>
      </c>
      <c r="B168" s="23">
        <v>76.0</v>
      </c>
      <c r="C168" s="23">
        <v>764.8</v>
      </c>
    </row>
    <row r="169">
      <c r="A169" s="32">
        <v>45525.0</v>
      </c>
      <c r="B169" s="23">
        <v>75.0</v>
      </c>
      <c r="C169" s="23">
        <v>753.0</v>
      </c>
    </row>
    <row r="170">
      <c r="A170" s="32">
        <v>45526.0</v>
      </c>
      <c r="B170" s="23">
        <v>75.6</v>
      </c>
      <c r="C170" s="23">
        <v>755.5</v>
      </c>
    </row>
    <row r="171">
      <c r="A171" s="32">
        <v>45527.0</v>
      </c>
      <c r="B171" s="23">
        <v>77.3</v>
      </c>
      <c r="C171" s="23">
        <v>768.2</v>
      </c>
    </row>
    <row r="172">
      <c r="A172" s="32">
        <v>45530.0</v>
      </c>
      <c r="B172" s="23">
        <v>78.6</v>
      </c>
      <c r="C172" s="23">
        <v>770.4</v>
      </c>
    </row>
    <row r="173">
      <c r="A173" s="32">
        <v>45531.0</v>
      </c>
      <c r="B173" s="23">
        <v>78.2</v>
      </c>
      <c r="C173" s="23">
        <v>773.1</v>
      </c>
    </row>
    <row r="174">
      <c r="A174" s="32">
        <v>45532.0</v>
      </c>
      <c r="B174" s="23">
        <v>77.1</v>
      </c>
      <c r="C174" s="23">
        <v>756.1</v>
      </c>
    </row>
    <row r="175">
      <c r="A175" s="32">
        <v>45533.0</v>
      </c>
      <c r="B175" s="23">
        <v>78.6</v>
      </c>
      <c r="C175" s="23">
        <v>755.9</v>
      </c>
    </row>
    <row r="176">
      <c r="A176" s="32">
        <v>45534.0</v>
      </c>
      <c r="B176" s="23">
        <v>77.0</v>
      </c>
      <c r="C176" s="23">
        <v>756.3</v>
      </c>
    </row>
    <row r="177">
      <c r="A177" s="23" t="s">
        <v>693</v>
      </c>
      <c r="B177" s="23">
        <v>75.3</v>
      </c>
      <c r="C177" s="23">
        <v>745.0</v>
      </c>
    </row>
    <row r="178">
      <c r="A178" s="23" t="s">
        <v>694</v>
      </c>
      <c r="B178" s="23">
        <v>72.8</v>
      </c>
      <c r="C178" s="23">
        <v>717.5</v>
      </c>
    </row>
    <row r="179">
      <c r="A179" s="23" t="s">
        <v>695</v>
      </c>
      <c r="B179" s="23">
        <v>71.6</v>
      </c>
      <c r="C179" s="23">
        <v>704.3</v>
      </c>
    </row>
    <row r="180">
      <c r="A180" s="23" t="s">
        <v>696</v>
      </c>
      <c r="B180" s="23">
        <v>71.5</v>
      </c>
      <c r="C180" s="23">
        <v>696.2</v>
      </c>
    </row>
    <row r="181">
      <c r="A181" s="23" t="s">
        <v>697</v>
      </c>
      <c r="B181" s="23">
        <v>72.7</v>
      </c>
      <c r="C181" s="23">
        <v>686.8</v>
      </c>
    </row>
    <row r="182">
      <c r="A182" s="23" t="s">
        <v>698</v>
      </c>
      <c r="B182" s="23">
        <v>69.9</v>
      </c>
      <c r="C182" s="23">
        <v>695.5</v>
      </c>
    </row>
    <row r="183">
      <c r="A183" s="23" t="s">
        <v>699</v>
      </c>
      <c r="B183" s="23">
        <v>67.6</v>
      </c>
      <c r="C183" s="23">
        <v>689.0</v>
      </c>
    </row>
    <row r="184">
      <c r="A184" s="23" t="s">
        <v>700</v>
      </c>
      <c r="B184" s="23">
        <v>68.4</v>
      </c>
      <c r="C184" s="23">
        <v>687.0</v>
      </c>
    </row>
    <row r="185">
      <c r="A185" s="23" t="s">
        <v>701</v>
      </c>
      <c r="B185" s="23">
        <v>70.8</v>
      </c>
      <c r="C185" s="23">
        <v>698.6</v>
      </c>
    </row>
    <row r="186">
      <c r="A186" s="23" t="s">
        <v>702</v>
      </c>
      <c r="B186" s="23">
        <v>70.5</v>
      </c>
      <c r="C186" s="23">
        <v>700.0</v>
      </c>
    </row>
    <row r="187">
      <c r="A187" s="23" t="s">
        <v>703</v>
      </c>
      <c r="B187" s="23">
        <v>71.3</v>
      </c>
      <c r="C187" s="23">
        <v>703.8</v>
      </c>
    </row>
    <row r="188">
      <c r="A188" s="23" t="s">
        <v>704</v>
      </c>
      <c r="B188" s="23">
        <v>72.2</v>
      </c>
      <c r="C188" s="23">
        <v>714.9</v>
      </c>
    </row>
    <row r="189">
      <c r="A189" s="23" t="s">
        <v>705</v>
      </c>
      <c r="B189" s="23">
        <v>72.1</v>
      </c>
      <c r="C189" s="23">
        <v>716.8</v>
      </c>
    </row>
    <row r="190">
      <c r="A190" s="23" t="s">
        <v>706</v>
      </c>
      <c r="B190" s="23">
        <v>73.4</v>
      </c>
      <c r="C190" s="23">
        <v>738.4</v>
      </c>
    </row>
    <row r="191">
      <c r="A191" s="23" t="s">
        <v>707</v>
      </c>
      <c r="B191" s="23">
        <v>73.3</v>
      </c>
      <c r="C191" s="23">
        <v>735.4</v>
      </c>
    </row>
    <row r="192">
      <c r="A192" s="23" t="s">
        <v>708</v>
      </c>
      <c r="B192" s="23">
        <v>72.3</v>
      </c>
      <c r="C192" s="23">
        <v>722.7</v>
      </c>
    </row>
    <row r="193">
      <c r="A193" s="23" t="s">
        <v>709</v>
      </c>
      <c r="B193" s="23">
        <v>73.2</v>
      </c>
      <c r="C193" s="23">
        <v>724.8</v>
      </c>
    </row>
    <row r="194">
      <c r="A194" s="23" t="s">
        <v>710</v>
      </c>
      <c r="B194" s="23">
        <v>72.3</v>
      </c>
      <c r="C194" s="23">
        <v>718.3</v>
      </c>
    </row>
    <row r="195">
      <c r="A195" s="23" t="s">
        <v>711</v>
      </c>
      <c r="B195" s="23">
        <v>70.0</v>
      </c>
      <c r="C195" s="23">
        <v>698.0</v>
      </c>
    </row>
    <row r="196">
      <c r="A196" s="23" t="s">
        <v>712</v>
      </c>
      <c r="B196" s="23">
        <v>69.7</v>
      </c>
      <c r="C196" s="23">
        <v>700.1</v>
      </c>
    </row>
    <row r="197">
      <c r="A197" s="23" t="s">
        <v>713</v>
      </c>
      <c r="B197" s="23">
        <v>69.9</v>
      </c>
      <c r="C197" s="23">
        <v>701.6</v>
      </c>
    </row>
    <row r="198">
      <c r="A198" s="31">
        <v>45566.0</v>
      </c>
      <c r="B198" s="23">
        <v>72.0</v>
      </c>
      <c r="C198" s="23">
        <v>696.7</v>
      </c>
    </row>
    <row r="199">
      <c r="A199" s="31">
        <v>45567.0</v>
      </c>
      <c r="B199" s="23">
        <v>72.1</v>
      </c>
      <c r="C199" s="23">
        <v>712.2</v>
      </c>
    </row>
    <row r="200">
      <c r="A200" s="31">
        <v>45568.0</v>
      </c>
      <c r="B200" s="23">
        <v>75.3</v>
      </c>
      <c r="C200" s="23">
        <v>726.4</v>
      </c>
    </row>
    <row r="201">
      <c r="A201" s="31">
        <v>45569.0</v>
      </c>
      <c r="B201" s="23">
        <v>76.3</v>
      </c>
      <c r="C201" s="23">
        <v>746.7</v>
      </c>
    </row>
    <row r="202">
      <c r="A202" s="31">
        <v>45572.0</v>
      </c>
      <c r="B202" s="23">
        <v>78.9</v>
      </c>
      <c r="C202" s="23">
        <v>758.6</v>
      </c>
    </row>
    <row r="203">
      <c r="A203" s="31">
        <v>45573.0</v>
      </c>
      <c r="B203" s="23">
        <v>75.2</v>
      </c>
      <c r="C203" s="23">
        <v>750.2</v>
      </c>
    </row>
    <row r="204">
      <c r="A204" s="31">
        <v>45574.0</v>
      </c>
      <c r="B204" s="23">
        <v>74.6</v>
      </c>
      <c r="C204" s="23">
        <v>739.2</v>
      </c>
    </row>
    <row r="205">
      <c r="A205" s="32">
        <v>45575.0</v>
      </c>
      <c r="B205" s="23">
        <v>76.9</v>
      </c>
      <c r="C205" s="23">
        <v>753.3</v>
      </c>
    </row>
    <row r="206">
      <c r="A206" s="32">
        <v>45576.0</v>
      </c>
      <c r="B206" s="23">
        <v>77.2</v>
      </c>
      <c r="C206" s="23">
        <v>765.0</v>
      </c>
    </row>
    <row r="207">
      <c r="A207" s="32">
        <v>45579.0</v>
      </c>
      <c r="B207" s="23">
        <v>75.9</v>
      </c>
      <c r="C207" s="23">
        <v>762.3</v>
      </c>
    </row>
    <row r="208">
      <c r="A208" s="32">
        <v>45580.0</v>
      </c>
      <c r="B208" s="23">
        <v>71.7</v>
      </c>
      <c r="C208" s="23">
        <v>724.7</v>
      </c>
    </row>
    <row r="209">
      <c r="A209" s="32">
        <v>45581.0</v>
      </c>
      <c r="B209" s="23">
        <v>71.7</v>
      </c>
      <c r="C209" s="23">
        <v>727.5</v>
      </c>
    </row>
    <row r="210">
      <c r="A210" s="32">
        <v>45582.0</v>
      </c>
      <c r="B210" s="23">
        <v>72.1</v>
      </c>
      <c r="C210" s="23">
        <v>730.6</v>
      </c>
    </row>
    <row r="211">
      <c r="A211" s="32">
        <v>45583.0</v>
      </c>
      <c r="B211" s="23">
        <v>70.6</v>
      </c>
      <c r="C211" s="23">
        <v>727.8</v>
      </c>
    </row>
    <row r="212">
      <c r="A212" s="32">
        <v>45586.0</v>
      </c>
      <c r="B212" s="23">
        <v>71.6</v>
      </c>
      <c r="C212" s="23">
        <v>725.6</v>
      </c>
    </row>
    <row r="213">
      <c r="A213" s="32">
        <v>45587.0</v>
      </c>
      <c r="B213" s="23">
        <v>73.6</v>
      </c>
      <c r="C213" s="23">
        <v>735.3</v>
      </c>
    </row>
    <row r="214">
      <c r="A214" s="32">
        <v>45588.0</v>
      </c>
      <c r="B214" s="23">
        <v>72.4</v>
      </c>
      <c r="C214" s="23">
        <v>738.1</v>
      </c>
    </row>
    <row r="215">
      <c r="A215" s="32">
        <v>45589.0</v>
      </c>
      <c r="B215" s="23">
        <v>71.9</v>
      </c>
      <c r="C215" s="23">
        <v>736.5</v>
      </c>
    </row>
    <row r="216">
      <c r="A216" s="32">
        <v>45590.0</v>
      </c>
      <c r="B216" s="23">
        <v>73.4</v>
      </c>
      <c r="C216" s="23">
        <v>735.8</v>
      </c>
    </row>
    <row r="217">
      <c r="A217" s="32">
        <v>45593.0</v>
      </c>
      <c r="B217" s="23">
        <v>69.3</v>
      </c>
      <c r="C217" s="23">
        <v>710.8</v>
      </c>
    </row>
    <row r="218">
      <c r="A218" s="32">
        <v>45594.0</v>
      </c>
      <c r="B218" s="23">
        <v>68.6</v>
      </c>
      <c r="C218" s="23">
        <v>693.8</v>
      </c>
    </row>
    <row r="219">
      <c r="A219" s="32">
        <v>45595.0</v>
      </c>
      <c r="B219" s="23">
        <v>70.4</v>
      </c>
      <c r="C219" s="23">
        <v>702.2</v>
      </c>
    </row>
    <row r="220">
      <c r="A220" s="32">
        <v>45596.0</v>
      </c>
      <c r="B220" s="23">
        <v>70.7</v>
      </c>
      <c r="C220" s="23">
        <v>703.6</v>
      </c>
    </row>
    <row r="221">
      <c r="A221" s="31">
        <v>45597.0</v>
      </c>
      <c r="B221" s="23">
        <v>71.1</v>
      </c>
      <c r="C221" s="23">
        <v>710.4</v>
      </c>
    </row>
    <row r="222">
      <c r="A222" s="31">
        <v>45600.0</v>
      </c>
      <c r="B222" s="23">
        <v>72.8</v>
      </c>
      <c r="C222" s="23">
        <v>721.6</v>
      </c>
    </row>
    <row r="223">
      <c r="A223" s="31">
        <v>45601.0</v>
      </c>
      <c r="B223" s="23">
        <v>73.8</v>
      </c>
      <c r="C223" s="23">
        <v>732.6</v>
      </c>
    </row>
    <row r="224">
      <c r="A224" s="31">
        <v>45602.0</v>
      </c>
      <c r="B224" s="23">
        <v>73.3</v>
      </c>
      <c r="C224" s="23">
        <v>723.1</v>
      </c>
    </row>
    <row r="225">
      <c r="A225" s="31">
        <v>45603.0</v>
      </c>
      <c r="B225" s="23">
        <v>73.4</v>
      </c>
      <c r="C225" s="23">
        <v>727.7</v>
      </c>
    </row>
    <row r="226">
      <c r="A226" s="31">
        <v>45604.0</v>
      </c>
      <c r="B226" s="23">
        <v>71.6</v>
      </c>
      <c r="C226" s="23">
        <v>718.0</v>
      </c>
    </row>
    <row r="227">
      <c r="A227" s="32">
        <v>45607.0</v>
      </c>
      <c r="B227" s="23">
        <v>70.2</v>
      </c>
      <c r="C227" s="23">
        <v>713.4</v>
      </c>
    </row>
    <row r="228">
      <c r="A228" s="32">
        <v>45608.0</v>
      </c>
      <c r="B228" s="23">
        <v>69.8</v>
      </c>
      <c r="C228" s="23">
        <v>700.8</v>
      </c>
    </row>
    <row r="229">
      <c r="A229" s="32">
        <v>45609.0</v>
      </c>
      <c r="B229" s="23">
        <v>70.0</v>
      </c>
      <c r="C229" s="23">
        <v>698.3</v>
      </c>
    </row>
    <row r="230">
      <c r="A230" s="32">
        <v>45610.0</v>
      </c>
      <c r="B230" s="23">
        <v>70.3</v>
      </c>
      <c r="C230" s="23">
        <v>701.6</v>
      </c>
    </row>
    <row r="231">
      <c r="A231" s="32">
        <v>45611.0</v>
      </c>
      <c r="B231" s="23">
        <v>69.5</v>
      </c>
      <c r="C231" s="23">
        <v>695.0</v>
      </c>
    </row>
    <row r="232">
      <c r="A232" s="32">
        <v>45614.0</v>
      </c>
      <c r="B232" s="23">
        <v>71.1</v>
      </c>
      <c r="C232" s="23">
        <v>705.2</v>
      </c>
    </row>
    <row r="233">
      <c r="A233" s="32">
        <v>45615.0</v>
      </c>
      <c r="B233" s="23">
        <v>71.1</v>
      </c>
      <c r="C233" s="23">
        <v>717.5</v>
      </c>
    </row>
    <row r="234">
      <c r="A234" s="32">
        <v>45616.0</v>
      </c>
      <c r="B234" s="23">
        <v>70.9</v>
      </c>
      <c r="C234" s="23">
        <v>723.5</v>
      </c>
    </row>
    <row r="235">
      <c r="A235" s="32">
        <v>45617.0</v>
      </c>
      <c r="B235" s="23">
        <v>71.9</v>
      </c>
      <c r="C235" s="23">
        <v>722.7</v>
      </c>
    </row>
    <row r="236">
      <c r="A236" s="32">
        <v>45618.0</v>
      </c>
      <c r="B236" s="23">
        <v>73.0</v>
      </c>
      <c r="C236" s="23">
        <v>728.2</v>
      </c>
    </row>
    <row r="237">
      <c r="A237" s="32">
        <v>45621.0</v>
      </c>
      <c r="B237" s="23">
        <v>71.0</v>
      </c>
      <c r="C237" s="23">
        <v>721.3</v>
      </c>
    </row>
    <row r="238">
      <c r="A238" s="32">
        <v>45622.0</v>
      </c>
      <c r="B238" s="23">
        <v>71.0</v>
      </c>
      <c r="C238" s="23">
        <v>714.6</v>
      </c>
    </row>
    <row r="239">
      <c r="A239" s="32">
        <v>45623.0</v>
      </c>
      <c r="B239" s="23">
        <v>70.7</v>
      </c>
      <c r="C239" s="23">
        <v>708.3</v>
      </c>
    </row>
    <row r="240">
      <c r="A240" s="32">
        <v>45624.0</v>
      </c>
      <c r="B240" s="23">
        <v>70.8</v>
      </c>
      <c r="C240" s="23">
        <v>710.9</v>
      </c>
    </row>
    <row r="241">
      <c r="A241" s="32">
        <v>45625.0</v>
      </c>
      <c r="B241" s="23">
        <v>70.7</v>
      </c>
      <c r="C241" s="23">
        <v>707.7</v>
      </c>
    </row>
    <row r="242">
      <c r="A242" s="31">
        <v>45628.0</v>
      </c>
      <c r="B242" s="23">
        <v>69.7</v>
      </c>
      <c r="C242" s="23">
        <v>709.4</v>
      </c>
    </row>
    <row r="243">
      <c r="A243" s="31">
        <v>45629.0</v>
      </c>
      <c r="B243" s="23">
        <v>71.5</v>
      </c>
      <c r="C243" s="23">
        <v>716.2</v>
      </c>
    </row>
    <row r="244">
      <c r="A244" s="31">
        <v>45630.0</v>
      </c>
      <c r="B244" s="23">
        <v>70.8</v>
      </c>
      <c r="C244" s="23">
        <v>722.8</v>
      </c>
    </row>
    <row r="245">
      <c r="A245" s="31">
        <v>45631.0</v>
      </c>
      <c r="B245" s="23">
        <v>70.2</v>
      </c>
      <c r="C245" s="23">
        <v>718.0</v>
      </c>
    </row>
    <row r="246">
      <c r="A246" s="31">
        <v>45632.0</v>
      </c>
      <c r="B246" s="23">
        <v>69.4</v>
      </c>
      <c r="C246" s="23">
        <v>692.4</v>
      </c>
    </row>
    <row r="247">
      <c r="A247" s="31">
        <v>45635.0</v>
      </c>
      <c r="B247" s="23">
        <v>70.2</v>
      </c>
      <c r="C247" s="23">
        <v>697.3</v>
      </c>
    </row>
    <row r="248">
      <c r="A248" s="32">
        <v>45636.0</v>
      </c>
      <c r="B248" s="23">
        <v>70.3</v>
      </c>
      <c r="C248" s="23">
        <v>703.9</v>
      </c>
    </row>
    <row r="249">
      <c r="A249" s="32">
        <v>45637.0</v>
      </c>
      <c r="B249" s="23">
        <v>71.4</v>
      </c>
      <c r="C249" s="23">
        <v>714.1</v>
      </c>
    </row>
    <row r="250">
      <c r="A250" s="32">
        <v>45638.0</v>
      </c>
      <c r="B250" s="23">
        <v>71.0</v>
      </c>
      <c r="C250" s="23">
        <v>720.7</v>
      </c>
    </row>
    <row r="251">
      <c r="A251" s="32">
        <v>45639.0</v>
      </c>
      <c r="B251" s="23">
        <v>72.3</v>
      </c>
      <c r="C251" s="23">
        <v>723.0</v>
      </c>
    </row>
    <row r="252">
      <c r="A252" s="32">
        <v>45642.0</v>
      </c>
      <c r="B252" s="23">
        <v>71.8</v>
      </c>
      <c r="C252" s="23">
        <v>719.6</v>
      </c>
    </row>
    <row r="253">
      <c r="A253" s="32">
        <v>45643.0</v>
      </c>
      <c r="B253" s="23">
        <v>71.0</v>
      </c>
      <c r="C253" s="23">
        <v>711.6</v>
      </c>
    </row>
    <row r="254">
      <c r="A254" s="32">
        <v>45644.0</v>
      </c>
      <c r="B254" s="23">
        <v>71.9</v>
      </c>
      <c r="C254" s="23">
        <v>709.7</v>
      </c>
    </row>
    <row r="255">
      <c r="A255" s="32">
        <v>45645.0</v>
      </c>
      <c r="B255" s="23">
        <v>71.1</v>
      </c>
      <c r="C255" s="23">
        <v>701.1</v>
      </c>
    </row>
    <row r="256">
      <c r="A256" s="32">
        <v>45646.0</v>
      </c>
      <c r="B256" s="23">
        <v>70.9</v>
      </c>
      <c r="C256" s="23">
        <v>701.2</v>
      </c>
    </row>
    <row r="257">
      <c r="A257" s="32">
        <v>45649.0</v>
      </c>
      <c r="B257" s="23">
        <v>70.3</v>
      </c>
      <c r="C257" s="23">
        <v>704.6</v>
      </c>
    </row>
    <row r="258">
      <c r="A258" s="32">
        <v>45650.0</v>
      </c>
      <c r="B258" s="23">
        <v>71.7</v>
      </c>
      <c r="C258" s="23">
        <v>707.4</v>
      </c>
    </row>
    <row r="259">
      <c r="A259" s="32">
        <v>45651.0</v>
      </c>
      <c r="B259" s="23">
        <v>71.7</v>
      </c>
      <c r="C259" s="23">
        <v>707.4</v>
      </c>
    </row>
    <row r="260">
      <c r="A260" s="32">
        <v>45652.0</v>
      </c>
      <c r="B260" s="23">
        <v>71.5</v>
      </c>
      <c r="C260" s="23">
        <v>707.8</v>
      </c>
    </row>
    <row r="261">
      <c r="A261" s="32">
        <v>45653.0</v>
      </c>
      <c r="B261" s="23">
        <v>72.1</v>
      </c>
      <c r="C261" s="23">
        <v>709.1</v>
      </c>
    </row>
    <row r="262">
      <c r="A262" s="32">
        <v>45656.0</v>
      </c>
      <c r="B262" s="23">
        <v>72.4</v>
      </c>
      <c r="C262" s="23">
        <v>710.7</v>
      </c>
    </row>
    <row r="263">
      <c r="A263" s="32">
        <v>45657.0</v>
      </c>
      <c r="B263" s="23">
        <v>72.8</v>
      </c>
      <c r="C263" s="23">
        <v>717.5</v>
      </c>
    </row>
    <row r="264">
      <c r="A264" s="31">
        <v>45658.0</v>
      </c>
      <c r="B264" s="23">
        <v>72.8</v>
      </c>
      <c r="C264" s="23">
        <v>717.5</v>
      </c>
    </row>
    <row r="265">
      <c r="A265" s="31">
        <v>45659.0</v>
      </c>
      <c r="B265" s="23">
        <v>74.3</v>
      </c>
      <c r="C265" s="23">
        <v>729.2</v>
      </c>
    </row>
    <row r="266">
      <c r="A266" s="31">
        <v>45660.0</v>
      </c>
      <c r="B266" s="23">
        <v>74.8</v>
      </c>
      <c r="C266" s="23">
        <v>733.8</v>
      </c>
    </row>
    <row r="267">
      <c r="A267" s="31">
        <v>45663.0</v>
      </c>
      <c r="B267" s="23">
        <v>74.9</v>
      </c>
      <c r="C267" s="23">
        <v>731.7</v>
      </c>
    </row>
    <row r="268">
      <c r="A268" s="31">
        <v>45664.0</v>
      </c>
      <c r="B268" s="23">
        <v>75.5</v>
      </c>
      <c r="C268" s="23">
        <v>729.5</v>
      </c>
    </row>
    <row r="269">
      <c r="A269" s="31">
        <v>45665.0</v>
      </c>
      <c r="B269" s="23">
        <v>74.7</v>
      </c>
      <c r="C269" s="23">
        <v>733.0</v>
      </c>
    </row>
    <row r="270">
      <c r="A270" s="31">
        <v>45666.0</v>
      </c>
      <c r="B270" s="23">
        <v>75.4</v>
      </c>
      <c r="C270" s="23">
        <v>718.5</v>
      </c>
    </row>
    <row r="271">
      <c r="A271" s="32">
        <v>45667.0</v>
      </c>
      <c r="B271" s="23">
        <v>77.8</v>
      </c>
      <c r="C271" s="23">
        <v>733.6</v>
      </c>
    </row>
    <row r="272">
      <c r="A272" s="32">
        <v>45670.0</v>
      </c>
      <c r="B272" s="23">
        <v>80.2</v>
      </c>
      <c r="C272" s="23">
        <v>755.7</v>
      </c>
    </row>
    <row r="273">
      <c r="A273" s="32">
        <v>45671.0</v>
      </c>
      <c r="B273" s="23">
        <v>79.4</v>
      </c>
      <c r="C273" s="23">
        <v>755.2</v>
      </c>
    </row>
    <row r="274">
      <c r="A274" s="32">
        <v>45672.0</v>
      </c>
      <c r="B274" s="23">
        <v>81.1</v>
      </c>
      <c r="C274" s="23">
        <v>761.8</v>
      </c>
    </row>
    <row r="275">
      <c r="A275" s="32">
        <v>45673.0</v>
      </c>
      <c r="B275" s="23">
        <v>80.2</v>
      </c>
      <c r="C275" s="23">
        <v>756.7</v>
      </c>
    </row>
    <row r="276">
      <c r="A276" s="32">
        <v>45674.0</v>
      </c>
      <c r="B276" s="23">
        <v>80.1</v>
      </c>
      <c r="C276" s="23">
        <v>751.9</v>
      </c>
    </row>
    <row r="277">
      <c r="A277" s="32">
        <v>45677.0</v>
      </c>
      <c r="B277" s="23">
        <v>78.9</v>
      </c>
      <c r="C277" s="23">
        <v>748.5</v>
      </c>
    </row>
    <row r="278">
      <c r="A278" s="32">
        <v>45678.0</v>
      </c>
      <c r="B278" s="23">
        <v>78.0</v>
      </c>
      <c r="C278" s="23">
        <v>743.3</v>
      </c>
    </row>
    <row r="279">
      <c r="A279" s="32">
        <v>45679.0</v>
      </c>
      <c r="B279" s="23">
        <v>77.5</v>
      </c>
      <c r="C279" s="23">
        <v>738.8</v>
      </c>
    </row>
    <row r="280">
      <c r="A280" s="32">
        <v>45680.0</v>
      </c>
      <c r="B280" s="23">
        <v>76.6</v>
      </c>
      <c r="C280" s="23">
        <v>742.0</v>
      </c>
    </row>
    <row r="281">
      <c r="A281" s="32">
        <v>45681.0</v>
      </c>
      <c r="B281" s="23">
        <v>76.7</v>
      </c>
      <c r="C281" s="23">
        <v>765.3</v>
      </c>
    </row>
    <row r="282">
      <c r="A282" s="32">
        <v>45684.0</v>
      </c>
      <c r="B282" s="23">
        <v>75.4</v>
      </c>
      <c r="C282" s="23">
        <v>736.5</v>
      </c>
    </row>
    <row r="283">
      <c r="A283" s="32">
        <v>45685.0</v>
      </c>
      <c r="B283" s="23">
        <v>75.8</v>
      </c>
      <c r="C283" s="23">
        <v>740.6</v>
      </c>
    </row>
    <row r="284">
      <c r="A284" s="32">
        <v>45686.0</v>
      </c>
      <c r="B284" s="23">
        <v>75.3</v>
      </c>
      <c r="C284" s="23">
        <v>739.1</v>
      </c>
    </row>
    <row r="285">
      <c r="A285" s="32">
        <v>45687.0</v>
      </c>
      <c r="B285" s="23">
        <v>75.4</v>
      </c>
      <c r="C285" s="23">
        <v>737.2</v>
      </c>
    </row>
    <row r="286">
      <c r="A286" s="32">
        <v>45688.0</v>
      </c>
      <c r="B286" s="23">
        <v>75.0</v>
      </c>
      <c r="C286" s="23">
        <v>738.1</v>
      </c>
    </row>
    <row r="287">
      <c r="A287" s="31">
        <v>45691.0</v>
      </c>
      <c r="B287" s="23">
        <v>73.9</v>
      </c>
      <c r="C287" s="23">
        <v>752.2</v>
      </c>
    </row>
    <row r="288">
      <c r="A288" s="31">
        <v>45692.0</v>
      </c>
      <c r="B288" s="23">
        <v>74.2</v>
      </c>
      <c r="C288" s="23">
        <v>742.1</v>
      </c>
    </row>
    <row r="289">
      <c r="A289" s="31">
        <v>45693.0</v>
      </c>
      <c r="B289" s="23">
        <v>72.7</v>
      </c>
      <c r="C289" s="23">
        <v>733.9</v>
      </c>
    </row>
    <row r="290">
      <c r="A290" s="31">
        <v>45694.0</v>
      </c>
      <c r="B290" s="23">
        <v>72.4</v>
      </c>
      <c r="C290" s="23">
        <v>736.9</v>
      </c>
    </row>
    <row r="291">
      <c r="A291" s="31">
        <v>45695.0</v>
      </c>
      <c r="B291" s="23">
        <v>72.6</v>
      </c>
      <c r="C291" s="23">
        <v>741.8</v>
      </c>
    </row>
    <row r="292">
      <c r="A292" s="32">
        <v>45698.0</v>
      </c>
      <c r="B292" s="23">
        <v>73.6</v>
      </c>
      <c r="C292" s="23">
        <v>744.0</v>
      </c>
    </row>
    <row r="293">
      <c r="A293" s="32">
        <v>45699.0</v>
      </c>
      <c r="B293" s="23">
        <v>75.1</v>
      </c>
      <c r="C293" s="23">
        <v>759.1</v>
      </c>
    </row>
    <row r="294">
      <c r="A294" s="32">
        <v>45700.0</v>
      </c>
      <c r="B294" s="23">
        <v>73.4</v>
      </c>
      <c r="C294" s="23">
        <v>744.8</v>
      </c>
    </row>
    <row r="295">
      <c r="A295" s="32">
        <v>45701.0</v>
      </c>
      <c r="B295" s="23">
        <v>73.0</v>
      </c>
      <c r="C295" s="23">
        <v>739.4</v>
      </c>
    </row>
    <row r="296">
      <c r="A296" s="32">
        <v>45702.0</v>
      </c>
      <c r="B296" s="23">
        <v>72.4</v>
      </c>
      <c r="C296" s="23">
        <v>742.0</v>
      </c>
    </row>
    <row r="297">
      <c r="A297" s="32">
        <v>45705.0</v>
      </c>
      <c r="B297" s="23">
        <v>72.7</v>
      </c>
      <c r="C297" s="23">
        <v>744.8</v>
      </c>
    </row>
    <row r="298">
      <c r="A298" s="32">
        <v>45706.0</v>
      </c>
      <c r="B298" s="23">
        <v>73.6</v>
      </c>
      <c r="C298" s="23">
        <v>746.8</v>
      </c>
    </row>
    <row r="299">
      <c r="A299" s="32">
        <v>45707.0</v>
      </c>
      <c r="B299" s="23">
        <v>73.9</v>
      </c>
      <c r="C299" s="23">
        <v>748.0</v>
      </c>
    </row>
    <row r="300">
      <c r="A300" s="32">
        <v>45708.0</v>
      </c>
      <c r="B300" s="23">
        <v>74.3</v>
      </c>
      <c r="C300" s="23">
        <v>744.5</v>
      </c>
    </row>
    <row r="301">
      <c r="A301" s="32">
        <v>45709.0</v>
      </c>
      <c r="B301" s="23">
        <v>72.3</v>
      </c>
      <c r="C301" s="23">
        <v>733.5</v>
      </c>
    </row>
    <row r="302">
      <c r="A302" s="32">
        <v>45712.0</v>
      </c>
      <c r="B302" s="23">
        <v>72.4</v>
      </c>
      <c r="C302" s="23">
        <v>727.6</v>
      </c>
    </row>
    <row r="303">
      <c r="A303" s="32">
        <v>45713.0</v>
      </c>
      <c r="B303" s="23">
        <v>70.5</v>
      </c>
      <c r="C303" s="23">
        <v>702.3</v>
      </c>
    </row>
    <row r="304">
      <c r="A304" s="32">
        <v>45714.0</v>
      </c>
      <c r="B304" s="23">
        <v>70.3</v>
      </c>
      <c r="C304" s="23">
        <v>693.0</v>
      </c>
    </row>
    <row r="305">
      <c r="A305" s="32">
        <v>45715.0</v>
      </c>
      <c r="B305" s="23">
        <v>72.0</v>
      </c>
      <c r="C305" s="23">
        <v>697.3</v>
      </c>
    </row>
    <row r="306">
      <c r="A306" s="32">
        <v>45716.0</v>
      </c>
      <c r="B306" s="23">
        <v>71.2</v>
      </c>
      <c r="C306" s="23">
        <v>694.8</v>
      </c>
    </row>
    <row r="307">
      <c r="A307" s="31">
        <v>45719.0</v>
      </c>
      <c r="B307" s="23">
        <v>70.1</v>
      </c>
      <c r="C307" s="23">
        <v>701.4</v>
      </c>
    </row>
    <row r="308">
      <c r="A308" s="31">
        <v>45720.0</v>
      </c>
      <c r="B308" s="23">
        <v>69.0</v>
      </c>
      <c r="C308" s="23">
        <v>684.8</v>
      </c>
    </row>
    <row r="309">
      <c r="A309" s="31">
        <v>45721.0</v>
      </c>
      <c r="B309" s="23">
        <v>67.2</v>
      </c>
      <c r="C309" s="23">
        <v>672.2</v>
      </c>
    </row>
    <row r="310">
      <c r="A310" s="31">
        <v>45722.0</v>
      </c>
      <c r="B310" s="23">
        <v>67.5</v>
      </c>
      <c r="C310" s="23">
        <v>656.5</v>
      </c>
    </row>
    <row r="311">
      <c r="A311" s="31">
        <v>45723.0</v>
      </c>
      <c r="B311" s="23">
        <v>68.6</v>
      </c>
      <c r="C311" s="23">
        <v>658.0</v>
      </c>
    </row>
    <row r="312">
      <c r="A312" s="32">
        <v>45726.0</v>
      </c>
      <c r="B312" s="23">
        <v>67.3</v>
      </c>
      <c r="C312" s="23">
        <v>658.0</v>
      </c>
    </row>
    <row r="313">
      <c r="A313" s="32">
        <v>45727.0</v>
      </c>
      <c r="B313" s="23">
        <v>67.5</v>
      </c>
      <c r="C313" s="23">
        <v>658.2</v>
      </c>
    </row>
    <row r="314">
      <c r="A314" s="32">
        <v>45728.0</v>
      </c>
      <c r="B314" s="23">
        <v>68.7</v>
      </c>
      <c r="C314" s="23">
        <v>664.6</v>
      </c>
    </row>
    <row r="315">
      <c r="A315" s="32">
        <v>45729.0</v>
      </c>
      <c r="B315" s="23">
        <v>68.2</v>
      </c>
      <c r="C315" s="23">
        <v>674.5</v>
      </c>
    </row>
    <row r="316">
      <c r="A316" s="32">
        <v>45730.0</v>
      </c>
      <c r="B316" s="23">
        <v>68.3</v>
      </c>
      <c r="C316" s="23">
        <v>673.8</v>
      </c>
    </row>
    <row r="317">
      <c r="A317" s="32">
        <v>45733.0</v>
      </c>
      <c r="B317" s="23">
        <v>69.0</v>
      </c>
      <c r="C317" s="23">
        <v>681.3</v>
      </c>
    </row>
    <row r="318">
      <c r="A318" s="32">
        <v>45734.0</v>
      </c>
      <c r="B318" s="23">
        <v>68.7</v>
      </c>
      <c r="C318" s="23">
        <v>686.8</v>
      </c>
    </row>
    <row r="319">
      <c r="A319" s="32">
        <v>45735.0</v>
      </c>
      <c r="B319" s="23">
        <v>68.7</v>
      </c>
      <c r="C319" s="23">
        <v>678.2</v>
      </c>
    </row>
    <row r="320">
      <c r="A320" s="32">
        <v>45736.0</v>
      </c>
      <c r="B320" s="23">
        <v>69.8</v>
      </c>
      <c r="C320" s="23">
        <v>686.4</v>
      </c>
    </row>
    <row r="321">
      <c r="A321" s="32">
        <v>45737.0</v>
      </c>
      <c r="B321" s="23">
        <v>69.6</v>
      </c>
      <c r="C321" s="23">
        <v>690.9</v>
      </c>
    </row>
    <row r="322">
      <c r="A322" s="32">
        <v>45740.0</v>
      </c>
      <c r="B322" s="23">
        <v>70.6</v>
      </c>
      <c r="C322" s="23">
        <v>698.4</v>
      </c>
    </row>
    <row r="323">
      <c r="A323" s="32">
        <v>45741.0</v>
      </c>
      <c r="B323" s="23">
        <v>70.6</v>
      </c>
      <c r="C323" s="23">
        <v>706.4</v>
      </c>
    </row>
    <row r="324">
      <c r="A324" s="32">
        <v>45742.0</v>
      </c>
      <c r="B324" s="23">
        <v>71.3</v>
      </c>
      <c r="C324" s="23">
        <v>711.1</v>
      </c>
    </row>
    <row r="325">
      <c r="A325" s="32">
        <v>45743.0</v>
      </c>
      <c r="B325" s="23">
        <v>71.7</v>
      </c>
      <c r="C325" s="23">
        <v>720.8</v>
      </c>
    </row>
    <row r="326">
      <c r="A326" s="32">
        <v>45744.0</v>
      </c>
      <c r="B326" s="23">
        <v>71.2</v>
      </c>
      <c r="C326" s="23">
        <v>722.0</v>
      </c>
    </row>
    <row r="327">
      <c r="A327" s="32">
        <v>45747.0</v>
      </c>
      <c r="B327" s="23">
        <v>72.4</v>
      </c>
      <c r="C327" s="23">
        <v>730.3</v>
      </c>
    </row>
    <row r="328">
      <c r="A328" s="31">
        <v>45748.0</v>
      </c>
      <c r="B328" s="23">
        <v>73.1</v>
      </c>
      <c r="C328" s="23">
        <v>740.3</v>
      </c>
    </row>
    <row r="329">
      <c r="A329" s="31">
        <v>45749.0</v>
      </c>
      <c r="B329" s="23">
        <v>73.5</v>
      </c>
      <c r="C329" s="23">
        <v>742.4</v>
      </c>
    </row>
    <row r="330">
      <c r="A330" s="31">
        <v>45750.0</v>
      </c>
      <c r="B330" s="23">
        <v>69.7</v>
      </c>
      <c r="C330" s="23">
        <v>706.6</v>
      </c>
    </row>
    <row r="331">
      <c r="A331" s="31">
        <v>45751.0</v>
      </c>
      <c r="B331" s="23">
        <v>66.3</v>
      </c>
      <c r="C331" s="23">
        <v>661.8</v>
      </c>
    </row>
    <row r="332">
      <c r="A332" s="31">
        <v>45754.0</v>
      </c>
      <c r="B332" s="23">
        <v>65.3</v>
      </c>
      <c r="C332" s="23">
        <v>638.4</v>
      </c>
    </row>
    <row r="333">
      <c r="A333" s="31">
        <v>45755.0</v>
      </c>
      <c r="B333" s="23">
        <v>61.5</v>
      </c>
      <c r="C333" s="23">
        <v>634.0</v>
      </c>
    </row>
    <row r="334">
      <c r="A334" s="31">
        <v>45756.0</v>
      </c>
      <c r="B334" s="23">
        <v>61.2</v>
      </c>
      <c r="C334" s="23">
        <v>624.1</v>
      </c>
    </row>
    <row r="335">
      <c r="A335" s="32">
        <v>45757.0</v>
      </c>
      <c r="B335" s="23">
        <v>61.7</v>
      </c>
      <c r="C335" s="23">
        <v>627.0</v>
      </c>
    </row>
    <row r="336">
      <c r="A336" s="32">
        <v>45758.0</v>
      </c>
      <c r="B336" s="23">
        <v>62.8</v>
      </c>
      <c r="C336" s="23">
        <v>630.7</v>
      </c>
    </row>
    <row r="337">
      <c r="A337" s="32">
        <v>45761.0</v>
      </c>
      <c r="B337" s="23">
        <v>63.3</v>
      </c>
      <c r="C337" s="23">
        <v>644.0</v>
      </c>
    </row>
    <row r="338">
      <c r="A338" s="32">
        <v>45762.0</v>
      </c>
      <c r="B338" s="23">
        <v>63.0</v>
      </c>
      <c r="C338" s="23">
        <v>646.0</v>
      </c>
    </row>
    <row r="339">
      <c r="A339" s="32">
        <v>45763.0</v>
      </c>
      <c r="B339" s="23">
        <v>64.0</v>
      </c>
      <c r="C339" s="23">
        <v>648.8</v>
      </c>
    </row>
    <row r="340">
      <c r="A340" s="32">
        <v>45764.0</v>
      </c>
      <c r="B340" s="23">
        <v>65.9</v>
      </c>
      <c r="C340" s="23">
        <v>656.8</v>
      </c>
    </row>
    <row r="341">
      <c r="A341" s="32">
        <v>45765.0</v>
      </c>
      <c r="B341" s="23">
        <v>65.9</v>
      </c>
      <c r="C341" s="23">
        <v>656.8</v>
      </c>
    </row>
    <row r="342">
      <c r="A342" s="32">
        <v>45768.0</v>
      </c>
      <c r="B342" s="23">
        <v>65.0</v>
      </c>
      <c r="C342" s="23">
        <v>660.5</v>
      </c>
    </row>
    <row r="343">
      <c r="A343" s="32">
        <v>45769.0</v>
      </c>
      <c r="B343" s="23">
        <v>65.5</v>
      </c>
      <c r="C343" s="23">
        <v>673.6</v>
      </c>
    </row>
    <row r="344">
      <c r="A344" s="32">
        <v>45770.0</v>
      </c>
      <c r="B344" s="23">
        <v>63.8</v>
      </c>
      <c r="C344" s="23">
        <v>676.2</v>
      </c>
    </row>
    <row r="345">
      <c r="A345" s="32">
        <v>45771.0</v>
      </c>
      <c r="B345" s="23">
        <v>64.4</v>
      </c>
      <c r="C345" s="23">
        <v>674.6</v>
      </c>
    </row>
    <row r="346">
      <c r="A346" s="32">
        <v>45772.0</v>
      </c>
      <c r="B346" s="23">
        <v>64.8</v>
      </c>
      <c r="C346" s="23">
        <v>677.6</v>
      </c>
    </row>
    <row r="347">
      <c r="A347" s="32">
        <v>45775.0</v>
      </c>
      <c r="B347" s="23">
        <v>63.6</v>
      </c>
      <c r="C347" s="23">
        <v>679.4</v>
      </c>
    </row>
    <row r="348">
      <c r="A348" s="32">
        <v>45776.0</v>
      </c>
      <c r="B348" s="23">
        <v>62.4</v>
      </c>
      <c r="C348" s="23">
        <v>666.5</v>
      </c>
    </row>
    <row r="349">
      <c r="A349" s="32">
        <v>45777.0</v>
      </c>
      <c r="B349" s="23">
        <v>60.4</v>
      </c>
      <c r="C349" s="23">
        <v>650.7</v>
      </c>
    </row>
    <row r="350">
      <c r="A350" s="33">
        <v>45778.0</v>
      </c>
      <c r="B350" s="23">
        <v>59.8</v>
      </c>
      <c r="C350" s="23">
        <v>650.1</v>
      </c>
    </row>
    <row r="351">
      <c r="A351" s="33">
        <v>45779.0</v>
      </c>
      <c r="B351" s="23">
        <v>59.2</v>
      </c>
      <c r="C351" s="23">
        <v>645.5</v>
      </c>
    </row>
    <row r="352">
      <c r="A352" s="33">
        <v>45782.0</v>
      </c>
      <c r="B352" s="23">
        <v>58.6</v>
      </c>
      <c r="C352" s="23">
        <v>641.8</v>
      </c>
    </row>
    <row r="353">
      <c r="A353" s="33">
        <v>45783.0</v>
      </c>
      <c r="B353" s="23">
        <v>60.3</v>
      </c>
      <c r="C353" s="23">
        <v>661.4</v>
      </c>
    </row>
    <row r="354">
      <c r="A354" s="33">
        <v>45784.0</v>
      </c>
      <c r="B354" s="23">
        <v>59.3</v>
      </c>
      <c r="C354" s="23">
        <v>659.3</v>
      </c>
    </row>
    <row r="355">
      <c r="A355" s="33">
        <v>45785.0</v>
      </c>
      <c r="B355" s="23">
        <v>60.7</v>
      </c>
      <c r="C355" s="23">
        <v>664.4</v>
      </c>
    </row>
    <row r="356">
      <c r="A356" s="33">
        <v>45786.0</v>
      </c>
      <c r="B356" s="23">
        <v>61.8</v>
      </c>
      <c r="C356" s="23">
        <v>676.0</v>
      </c>
    </row>
    <row r="357">
      <c r="A357" s="34">
        <v>45789.0</v>
      </c>
      <c r="B357" s="23">
        <v>62.9</v>
      </c>
      <c r="C357" s="23">
        <v>682.8</v>
      </c>
    </row>
    <row r="358">
      <c r="A358" s="34">
        <v>45790.0</v>
      </c>
      <c r="B358" s="23">
        <v>64.6</v>
      </c>
      <c r="C358" s="23">
        <v>686.0</v>
      </c>
    </row>
    <row r="359">
      <c r="A359" s="34">
        <v>45791.0</v>
      </c>
      <c r="B359" s="23">
        <v>63.9</v>
      </c>
      <c r="C359" s="23">
        <v>684.2</v>
      </c>
    </row>
    <row r="360">
      <c r="A360" s="34">
        <v>45792.0</v>
      </c>
      <c r="B360" s="23">
        <v>62.3</v>
      </c>
      <c r="C360" s="23">
        <v>670.3</v>
      </c>
    </row>
    <row r="361">
      <c r="A361" s="34">
        <v>45793.0</v>
      </c>
      <c r="B361" s="23">
        <v>63.1</v>
      </c>
      <c r="C361" s="23">
        <v>676.4</v>
      </c>
    </row>
    <row r="362">
      <c r="A362" s="34">
        <v>45796.0</v>
      </c>
      <c r="B362" s="23">
        <v>63.3</v>
      </c>
      <c r="C362" s="23">
        <v>678.1</v>
      </c>
    </row>
    <row r="363">
      <c r="A363" s="34">
        <v>45797.0</v>
      </c>
      <c r="B363" s="23">
        <v>63.4</v>
      </c>
      <c r="C363" s="23">
        <v>682.1</v>
      </c>
    </row>
    <row r="364">
      <c r="A364" s="34">
        <v>45798.0</v>
      </c>
      <c r="B364" s="23">
        <v>63.1</v>
      </c>
      <c r="C364" s="23">
        <v>688.9</v>
      </c>
    </row>
    <row r="365">
      <c r="A365" s="34">
        <v>45799.0</v>
      </c>
      <c r="B365" s="23">
        <v>62.3</v>
      </c>
      <c r="C365" s="23">
        <v>683.9</v>
      </c>
    </row>
    <row r="366">
      <c r="A366" s="34">
        <v>45800.0</v>
      </c>
      <c r="B366" s="23">
        <v>62.6</v>
      </c>
      <c r="C366" s="23">
        <v>679.2</v>
      </c>
    </row>
    <row r="367">
      <c r="A367" s="34">
        <v>45803.0</v>
      </c>
      <c r="B367" s="23">
        <v>62.6</v>
      </c>
      <c r="C367" s="23">
        <v>681.7</v>
      </c>
    </row>
    <row r="368">
      <c r="A368" s="34">
        <v>45804.0</v>
      </c>
      <c r="B368" s="23">
        <v>61.7</v>
      </c>
      <c r="C368" s="23">
        <v>675.6</v>
      </c>
    </row>
    <row r="369">
      <c r="A369" s="34">
        <v>45805.0</v>
      </c>
      <c r="B369" s="23">
        <v>62.6</v>
      </c>
      <c r="C369" s="23">
        <v>675.7</v>
      </c>
    </row>
    <row r="370">
      <c r="A370" s="34">
        <v>45806.0</v>
      </c>
      <c r="B370" s="23">
        <v>61.8</v>
      </c>
      <c r="C370" s="23">
        <v>672.9</v>
      </c>
    </row>
    <row r="371">
      <c r="A371" s="34">
        <v>45807.0</v>
      </c>
      <c r="B371" s="23">
        <v>61.3</v>
      </c>
      <c r="C371" s="23">
        <v>665.3</v>
      </c>
    </row>
    <row r="372">
      <c r="A372" s="31">
        <v>45810.0</v>
      </c>
      <c r="B372" s="23">
        <v>62.5</v>
      </c>
      <c r="C372" s="23">
        <v>676.0</v>
      </c>
    </row>
    <row r="373">
      <c r="A373" s="31">
        <v>45811.0</v>
      </c>
      <c r="B373" s="23">
        <v>63.8</v>
      </c>
      <c r="C373" s="23">
        <v>678.1</v>
      </c>
    </row>
    <row r="374">
      <c r="A374" s="31">
        <v>45812.0</v>
      </c>
      <c r="B374" s="23">
        <v>62.9</v>
      </c>
      <c r="C374" s="23">
        <v>673.0</v>
      </c>
    </row>
    <row r="375">
      <c r="A375" s="31">
        <v>45813.0</v>
      </c>
      <c r="B375" s="23">
        <v>63.6</v>
      </c>
      <c r="C375" s="23">
        <v>671.7</v>
      </c>
    </row>
    <row r="376">
      <c r="A376" s="31">
        <v>45814.0</v>
      </c>
      <c r="B376" s="23">
        <v>64.6</v>
      </c>
      <c r="C376" s="23">
        <v>675.3</v>
      </c>
    </row>
    <row r="377">
      <c r="A377" s="31">
        <v>45817.0</v>
      </c>
      <c r="B377" s="23">
        <v>65.1</v>
      </c>
      <c r="C377" s="23">
        <v>681.7</v>
      </c>
    </row>
    <row r="378">
      <c r="A378" s="32">
        <v>45818.0</v>
      </c>
      <c r="B378" s="23">
        <v>65.6</v>
      </c>
      <c r="C378" s="23">
        <v>687.1</v>
      </c>
    </row>
    <row r="379">
      <c r="A379" s="32">
        <v>45819.0</v>
      </c>
      <c r="B379" s="23">
        <v>67.9</v>
      </c>
      <c r="C379" s="23">
        <v>696.7</v>
      </c>
    </row>
    <row r="380">
      <c r="A380" s="32">
        <v>45820.0</v>
      </c>
      <c r="B380" s="23">
        <v>67.9</v>
      </c>
      <c r="C380" s="23">
        <v>725.4</v>
      </c>
    </row>
    <row r="381">
      <c r="A381" s="32">
        <v>45821.0</v>
      </c>
      <c r="B381" s="23">
        <v>72.5</v>
      </c>
      <c r="C381" s="23">
        <v>754.2</v>
      </c>
    </row>
    <row r="382">
      <c r="A382" s="32">
        <v>45824.0</v>
      </c>
      <c r="B382" s="23">
        <v>71.3</v>
      </c>
      <c r="C382" s="23">
        <v>748.1</v>
      </c>
    </row>
    <row r="383">
      <c r="A383" s="32">
        <v>45825.0</v>
      </c>
      <c r="B383" s="23">
        <v>74.7</v>
      </c>
      <c r="C383" s="23">
        <v>763.4</v>
      </c>
    </row>
    <row r="384">
      <c r="A384" s="32">
        <v>45826.0</v>
      </c>
      <c r="B384" s="23">
        <v>75.1</v>
      </c>
      <c r="C384" s="23">
        <v>775.0</v>
      </c>
    </row>
    <row r="385">
      <c r="A385" s="32">
        <v>45827.0</v>
      </c>
      <c r="B385" s="23">
        <v>76.8</v>
      </c>
      <c r="C385" s="23">
        <v>787.3</v>
      </c>
    </row>
    <row r="386">
      <c r="A386" s="32">
        <v>45828.0</v>
      </c>
      <c r="B386" s="23">
        <v>75.4</v>
      </c>
      <c r="C386" s="23">
        <v>789.4</v>
      </c>
    </row>
    <row r="387">
      <c r="A387" s="32">
        <v>45831.0</v>
      </c>
      <c r="B387" s="23">
        <v>71.1</v>
      </c>
      <c r="C387" s="23">
        <v>773.3</v>
      </c>
    </row>
    <row r="388">
      <c r="A388" s="32">
        <v>45832.0</v>
      </c>
      <c r="B388" s="23">
        <v>66.2</v>
      </c>
      <c r="C388" s="23">
        <v>713.4</v>
      </c>
    </row>
    <row r="389">
      <c r="A389" s="32">
        <v>45833.0</v>
      </c>
      <c r="B389" s="23">
        <v>66.4</v>
      </c>
      <c r="C389" s="23">
        <v>710.4</v>
      </c>
    </row>
    <row r="390">
      <c r="A390" s="32">
        <v>45834.0</v>
      </c>
      <c r="B390" s="23">
        <v>66.4</v>
      </c>
      <c r="C390" s="23">
        <v>706.0</v>
      </c>
    </row>
    <row r="391">
      <c r="A391" s="32">
        <v>45835.0</v>
      </c>
      <c r="B391" s="23">
        <v>66.5</v>
      </c>
      <c r="C391" s="23">
        <v>700.7</v>
      </c>
    </row>
    <row r="392">
      <c r="A392" s="32">
        <v>45838.0</v>
      </c>
      <c r="B392" s="23">
        <v>66.4</v>
      </c>
      <c r="C392" s="23">
        <v>699.9</v>
      </c>
    </row>
    <row r="393">
      <c r="A393" s="31">
        <v>45839.0</v>
      </c>
      <c r="B393" s="23">
        <v>65.9</v>
      </c>
      <c r="C393" s="23">
        <v>703.4</v>
      </c>
    </row>
    <row r="394">
      <c r="A394" s="31">
        <v>45840.0</v>
      </c>
      <c r="B394" s="23">
        <v>67.8</v>
      </c>
      <c r="C394" s="23">
        <v>712.7</v>
      </c>
    </row>
    <row r="395">
      <c r="A395" s="31">
        <v>45841.0</v>
      </c>
      <c r="B395" s="23">
        <v>67.7</v>
      </c>
      <c r="C395" s="23">
        <v>714.2</v>
      </c>
    </row>
    <row r="396">
      <c r="A396" s="31">
        <v>45842.0</v>
      </c>
      <c r="B396" s="23">
        <v>67.6</v>
      </c>
      <c r="C396" s="23">
        <v>716.8</v>
      </c>
    </row>
    <row r="397">
      <c r="A397" s="31">
        <v>45845.0</v>
      </c>
      <c r="B397" s="23">
        <v>68.4</v>
      </c>
      <c r="C397" s="23">
        <v>719.6</v>
      </c>
    </row>
    <row r="398">
      <c r="A398" s="31">
        <v>45846.0</v>
      </c>
      <c r="B398" s="23">
        <v>69.3</v>
      </c>
      <c r="C398" s="23">
        <v>726.2</v>
      </c>
    </row>
    <row r="399">
      <c r="A399" s="31">
        <v>45847.0</v>
      </c>
      <c r="B399" s="23">
        <v>69.6</v>
      </c>
      <c r="C399" s="23">
        <v>734.2</v>
      </c>
    </row>
    <row r="400">
      <c r="A400" s="32">
        <v>45848.0</v>
      </c>
      <c r="B400" s="23">
        <v>67.8</v>
      </c>
      <c r="C400" s="23">
        <v>718.7</v>
      </c>
    </row>
    <row r="401">
      <c r="A401" s="32">
        <v>45849.0</v>
      </c>
      <c r="B401" s="23">
        <v>69.4</v>
      </c>
      <c r="C401" s="23">
        <v>718.6</v>
      </c>
    </row>
    <row r="402">
      <c r="A402" s="32">
        <v>45852.0</v>
      </c>
      <c r="B402" s="23">
        <v>68.4</v>
      </c>
      <c r="C402" s="23">
        <v>720.2</v>
      </c>
    </row>
    <row r="403">
      <c r="A403" s="32">
        <v>45853.0</v>
      </c>
      <c r="B403" s="23">
        <v>68.0</v>
      </c>
      <c r="C403" s="23">
        <v>713.9</v>
      </c>
    </row>
    <row r="404">
      <c r="A404" s="32">
        <v>45854.0</v>
      </c>
      <c r="B404" s="23">
        <v>67.4</v>
      </c>
      <c r="C404" s="23">
        <v>708.0</v>
      </c>
    </row>
    <row r="405">
      <c r="A405" s="32">
        <v>45855.0</v>
      </c>
      <c r="B405" s="23">
        <v>68.6</v>
      </c>
      <c r="C405" s="23">
        <v>712.4</v>
      </c>
    </row>
    <row r="406">
      <c r="A406" s="32">
        <v>45856.0</v>
      </c>
      <c r="B406" s="23">
        <v>68.6</v>
      </c>
      <c r="C406" s="23">
        <v>713.7</v>
      </c>
    </row>
    <row r="407">
      <c r="A407" s="32">
        <v>45859.0</v>
      </c>
      <c r="B407" s="23">
        <v>68.4</v>
      </c>
      <c r="C407" s="23">
        <v>707.5</v>
      </c>
    </row>
    <row r="408">
      <c r="A408" s="32">
        <v>45860.0</v>
      </c>
      <c r="B408" s="23">
        <v>68.1</v>
      </c>
      <c r="C408" s="23">
        <v>700.0</v>
      </c>
    </row>
    <row r="409">
      <c r="A409" s="32">
        <v>45861.0</v>
      </c>
      <c r="B409" s="23">
        <v>67.1</v>
      </c>
      <c r="C409" s="23">
        <v>701.4</v>
      </c>
    </row>
    <row r="410">
      <c r="A410" s="32">
        <v>45862.0</v>
      </c>
      <c r="B410" s="23">
        <v>68.3</v>
      </c>
      <c r="C410" s="23">
        <v>707.8</v>
      </c>
    </row>
    <row r="411">
      <c r="A411" s="32">
        <v>45863.0</v>
      </c>
      <c r="B411" s="23">
        <v>67.6</v>
      </c>
      <c r="C411" s="23">
        <v>706.6</v>
      </c>
    </row>
    <row r="412">
      <c r="A412" s="32">
        <v>45866.0</v>
      </c>
      <c r="B412" s="23">
        <v>68.9</v>
      </c>
      <c r="C412" s="23">
        <v>707.1</v>
      </c>
    </row>
    <row r="413">
      <c r="A413" s="32">
        <v>45867.0</v>
      </c>
      <c r="B413" s="23">
        <v>70.7</v>
      </c>
      <c r="C413" s="23">
        <v>723.4</v>
      </c>
    </row>
    <row r="414">
      <c r="A414" s="32">
        <v>45868.0</v>
      </c>
      <c r="B414" s="23">
        <v>72.3</v>
      </c>
      <c r="C414" s="23">
        <v>743.6</v>
      </c>
    </row>
    <row r="415">
      <c r="A415" s="32">
        <v>45869.0</v>
      </c>
      <c r="B415" s="23">
        <v>71.9</v>
      </c>
      <c r="C415" s="23">
        <v>741.0</v>
      </c>
    </row>
    <row r="416">
      <c r="A416" s="31">
        <v>45870.0</v>
      </c>
      <c r="B416" s="23">
        <v>68.8</v>
      </c>
      <c r="C416" s="23">
        <v>728.6</v>
      </c>
    </row>
    <row r="417">
      <c r="A417" s="31">
        <v>45873.0</v>
      </c>
      <c r="B417" s="23">
        <v>67.9</v>
      </c>
      <c r="C417" s="23">
        <v>717.5</v>
      </c>
    </row>
    <row r="418">
      <c r="A418" s="31">
        <v>45874.0</v>
      </c>
      <c r="B418" s="23">
        <v>66.7</v>
      </c>
      <c r="C418" s="23">
        <v>711.5</v>
      </c>
    </row>
    <row r="419">
      <c r="A419" s="31">
        <v>45875.0</v>
      </c>
      <c r="B419" s="23">
        <v>66.9</v>
      </c>
      <c r="C419" s="23">
        <v>714.0</v>
      </c>
    </row>
    <row r="420">
      <c r="A420" s="31">
        <v>45876.0</v>
      </c>
      <c r="B420" s="23">
        <v>65.8</v>
      </c>
      <c r="C420" s="23">
        <v>707.4</v>
      </c>
    </row>
    <row r="421">
      <c r="A421" s="31">
        <v>45877.0</v>
      </c>
      <c r="B421" s="23">
        <v>65.6</v>
      </c>
      <c r="C421" s="23">
        <v>709.0</v>
      </c>
    </row>
    <row r="422">
      <c r="A422" s="32">
        <v>45880.0</v>
      </c>
      <c r="B422" s="23">
        <v>65.8</v>
      </c>
      <c r="C422" s="23">
        <v>706.9</v>
      </c>
    </row>
    <row r="423">
      <c r="A423" s="32">
        <v>45881.0</v>
      </c>
      <c r="B423" s="23">
        <v>65.2</v>
      </c>
      <c r="C423" s="23">
        <v>705.9</v>
      </c>
    </row>
    <row r="424">
      <c r="A424" s="32">
        <v>45882.0</v>
      </c>
      <c r="B424" s="23">
        <v>64.6</v>
      </c>
      <c r="C424" s="23">
        <v>703.6</v>
      </c>
    </row>
    <row r="425">
      <c r="A425" s="32">
        <v>45883.0</v>
      </c>
      <c r="B425" s="23">
        <v>66.0</v>
      </c>
      <c r="C425" s="23">
        <v>709.6</v>
      </c>
    </row>
    <row r="426">
      <c r="A426" s="32">
        <v>45884.0</v>
      </c>
      <c r="B426" s="23">
        <v>65.1</v>
      </c>
      <c r="C426" s="23">
        <v>708.8</v>
      </c>
    </row>
    <row r="427">
      <c r="A427" s="32">
        <v>45887.0</v>
      </c>
      <c r="B427" s="23">
        <v>65.7</v>
      </c>
      <c r="C427" s="23">
        <v>710.0</v>
      </c>
    </row>
    <row r="428">
      <c r="A428" s="32">
        <v>45888.0</v>
      </c>
      <c r="B428" s="23">
        <v>64.9</v>
      </c>
      <c r="C428" s="23">
        <v>709.6</v>
      </c>
    </row>
    <row r="429">
      <c r="A429" s="32">
        <v>45889.0</v>
      </c>
      <c r="B429" s="23">
        <v>65.9</v>
      </c>
      <c r="C429" s="23">
        <v>716.9</v>
      </c>
    </row>
    <row r="430">
      <c r="A430" s="32">
        <v>45890.0</v>
      </c>
      <c r="B430" s="23">
        <v>66.4</v>
      </c>
      <c r="C430" s="23">
        <v>733.0</v>
      </c>
    </row>
    <row r="431">
      <c r="A431" s="32">
        <v>45891.0</v>
      </c>
      <c r="B431" s="23">
        <v>66.6</v>
      </c>
      <c r="C431" s="23">
        <v>734.8</v>
      </c>
    </row>
    <row r="432">
      <c r="A432" s="32">
        <v>45894.0</v>
      </c>
      <c r="B432" s="23">
        <v>67.1</v>
      </c>
      <c r="C432" s="23">
        <v>732.4</v>
      </c>
    </row>
    <row r="433">
      <c r="A433" s="32">
        <v>45895.0</v>
      </c>
      <c r="B433" s="23">
        <v>66.0</v>
      </c>
      <c r="C433" s="23">
        <v>723.3</v>
      </c>
    </row>
    <row r="434">
      <c r="A434" s="32">
        <v>45896.0</v>
      </c>
      <c r="B434" s="23">
        <v>66.2</v>
      </c>
      <c r="C434" s="23">
        <v>720.0</v>
      </c>
    </row>
    <row r="435">
      <c r="A435" s="32">
        <v>45897.0</v>
      </c>
      <c r="B435" s="23">
        <v>66.5</v>
      </c>
      <c r="C435" s="23">
        <v>731.2</v>
      </c>
    </row>
    <row r="436">
      <c r="A436" s="32">
        <v>45898.0</v>
      </c>
      <c r="B436" s="23">
        <v>66.5</v>
      </c>
      <c r="C436" s="23">
        <v>757.7</v>
      </c>
    </row>
    <row r="437">
      <c r="A437" s="23" t="s">
        <v>714</v>
      </c>
      <c r="B437" s="23">
        <v>66.4</v>
      </c>
      <c r="C437" s="23">
        <v>759.3</v>
      </c>
    </row>
    <row r="438">
      <c r="A438" s="23" t="s">
        <v>715</v>
      </c>
      <c r="B438" s="23">
        <v>67.2</v>
      </c>
      <c r="C438" s="23">
        <v>747.7</v>
      </c>
    </row>
    <row r="439">
      <c r="A439" s="23" t="s">
        <v>716</v>
      </c>
      <c r="B439" s="23">
        <v>65.7</v>
      </c>
      <c r="C439" s="23">
        <v>750.0</v>
      </c>
    </row>
    <row r="440">
      <c r="A440" s="23" t="s">
        <v>717</v>
      </c>
      <c r="B440" s="23">
        <v>65.4</v>
      </c>
      <c r="C440" s="23">
        <v>748.3</v>
      </c>
    </row>
    <row r="441">
      <c r="A441" s="23" t="s">
        <v>718</v>
      </c>
      <c r="B441" s="23">
        <v>63.6</v>
      </c>
      <c r="C441" s="23">
        <v>732.8</v>
      </c>
    </row>
    <row r="442">
      <c r="A442" s="23" t="s">
        <v>719</v>
      </c>
      <c r="B442" s="23">
        <v>64.3</v>
      </c>
      <c r="C442" s="23">
        <v>736.4</v>
      </c>
    </row>
    <row r="443">
      <c r="A443" s="23" t="s">
        <v>720</v>
      </c>
      <c r="B443" s="23">
        <v>64.9</v>
      </c>
      <c r="C443" s="23">
        <v>745.2</v>
      </c>
    </row>
    <row r="444">
      <c r="A444" s="23" t="s">
        <v>721</v>
      </c>
      <c r="B444" s="23">
        <v>66.4</v>
      </c>
      <c r="C444" s="23">
        <v>744.5</v>
      </c>
    </row>
    <row r="445">
      <c r="A445" s="23" t="s">
        <v>722</v>
      </c>
      <c r="B445" s="23">
        <v>64.9</v>
      </c>
      <c r="C445" s="23">
        <v>742.0</v>
      </c>
    </row>
    <row r="446">
      <c r="A446" s="23" t="s">
        <v>723</v>
      </c>
      <c r="B446" s="23">
        <v>65.9</v>
      </c>
      <c r="C446" s="23">
        <v>744.0</v>
      </c>
    </row>
    <row r="447">
      <c r="A447" s="23" t="s">
        <v>724</v>
      </c>
      <c r="B447" s="23">
        <v>66.1</v>
      </c>
      <c r="C447" s="23">
        <v>747.7</v>
      </c>
    </row>
    <row r="448">
      <c r="A448" s="23" t="s">
        <v>725</v>
      </c>
      <c r="B448" s="23">
        <v>67.1</v>
      </c>
      <c r="C448" s="23">
        <v>757.9</v>
      </c>
    </row>
    <row r="449">
      <c r="A449" s="23" t="s">
        <v>726</v>
      </c>
      <c r="B449" s="23">
        <v>66.7</v>
      </c>
      <c r="C449" s="23">
        <v>755.8</v>
      </c>
    </row>
    <row r="450">
      <c r="A450" s="23" t="s">
        <v>727</v>
      </c>
      <c r="B450" s="23">
        <v>66.1</v>
      </c>
      <c r="C450" s="23">
        <v>747.8</v>
      </c>
    </row>
    <row r="451">
      <c r="A451" s="23" t="s">
        <v>728</v>
      </c>
      <c r="B451" s="23">
        <v>65.0</v>
      </c>
      <c r="C451" s="23">
        <v>735.1</v>
      </c>
    </row>
    <row r="452">
      <c r="A452" s="23" t="s">
        <v>729</v>
      </c>
      <c r="B452" s="23">
        <v>64.8</v>
      </c>
      <c r="C452" s="23">
        <v>722.0</v>
      </c>
    </row>
    <row r="453">
      <c r="A453" s="23" t="s">
        <v>730</v>
      </c>
      <c r="B453" s="23">
        <v>65.9</v>
      </c>
      <c r="C453" s="23">
        <v>717.3</v>
      </c>
    </row>
    <row r="454">
      <c r="A454" s="23" t="s">
        <v>731</v>
      </c>
      <c r="B454" s="23">
        <v>67.4</v>
      </c>
      <c r="C454" s="23">
        <v>727.3</v>
      </c>
    </row>
    <row r="455">
      <c r="A455" s="23" t="s">
        <v>732</v>
      </c>
      <c r="B455" s="23">
        <v>67.5</v>
      </c>
      <c r="C455" s="23">
        <v>726.3</v>
      </c>
    </row>
    <row r="456">
      <c r="A456" s="23" t="s">
        <v>733</v>
      </c>
      <c r="B456" s="23">
        <v>68.4</v>
      </c>
      <c r="C456" s="23">
        <v>735.4</v>
      </c>
    </row>
    <row r="457">
      <c r="A457" s="23" t="s">
        <v>734</v>
      </c>
      <c r="B457" s="23">
        <v>66.1</v>
      </c>
      <c r="C457" s="23">
        <v>730.3</v>
      </c>
    </row>
    <row r="458">
      <c r="A458" s="23" t="s">
        <v>735</v>
      </c>
      <c r="B458" s="23">
        <v>65.0</v>
      </c>
      <c r="C458" s="23">
        <v>722.8</v>
      </c>
    </row>
    <row r="459">
      <c r="A459" s="31">
        <v>45931.0</v>
      </c>
      <c r="B459" s="23">
        <v>63.7</v>
      </c>
      <c r="C459" s="23">
        <v>709.1</v>
      </c>
    </row>
    <row r="460">
      <c r="A460" s="31">
        <v>45932.0</v>
      </c>
      <c r="B460" s="23">
        <v>62.3</v>
      </c>
      <c r="C460" s="23">
        <v>695.1</v>
      </c>
    </row>
    <row r="461">
      <c r="A461" s="31">
        <v>45933.0</v>
      </c>
      <c r="B461" s="23">
        <v>62.8</v>
      </c>
      <c r="C461" s="23">
        <v>693.1</v>
      </c>
    </row>
    <row r="462">
      <c r="A462" s="31">
        <v>45936.0</v>
      </c>
      <c r="B462" s="23">
        <v>63.8</v>
      </c>
      <c r="C462" s="23">
        <v>701.3</v>
      </c>
    </row>
    <row r="463">
      <c r="A463" s="31">
        <v>45937.0</v>
      </c>
      <c r="B463" s="23">
        <v>63.5</v>
      </c>
      <c r="C463" s="23">
        <v>703.0</v>
      </c>
    </row>
    <row r="464">
      <c r="A464" s="31">
        <v>45938.0</v>
      </c>
      <c r="B464" s="23">
        <v>64.4</v>
      </c>
      <c r="C464" s="23">
        <v>702.4</v>
      </c>
    </row>
    <row r="465">
      <c r="A465" s="31">
        <v>45939.0</v>
      </c>
      <c r="B465" s="23">
        <v>63.4</v>
      </c>
      <c r="C465" s="23">
        <v>707.7</v>
      </c>
    </row>
    <row r="466">
      <c r="A466" s="32">
        <v>45940.0</v>
      </c>
      <c r="B466" s="23">
        <v>61.0</v>
      </c>
      <c r="C466" s="23">
        <v>687.0</v>
      </c>
    </row>
    <row r="467">
      <c r="A467" s="32">
        <v>45943.0</v>
      </c>
      <c r="B467" s="23">
        <v>61.4</v>
      </c>
      <c r="C467" s="23">
        <v>689.7</v>
      </c>
    </row>
    <row r="468">
      <c r="A468" s="32">
        <v>45944.0</v>
      </c>
      <c r="B468" s="23">
        <v>60.3</v>
      </c>
      <c r="C468" s="23">
        <v>687.9</v>
      </c>
    </row>
    <row r="469">
      <c r="A469" s="32">
        <v>45945.0</v>
      </c>
      <c r="B469" s="23">
        <v>59.9</v>
      </c>
      <c r="C469" s="23">
        <v>681.2</v>
      </c>
    </row>
    <row r="470">
      <c r="A470" s="32">
        <v>45946.0</v>
      </c>
      <c r="B470" s="23">
        <v>59.2</v>
      </c>
      <c r="C470" s="23">
        <v>689.1</v>
      </c>
    </row>
    <row r="471">
      <c r="A471" s="32">
        <v>45947.0</v>
      </c>
      <c r="B471" s="23">
        <v>59.0</v>
      </c>
      <c r="C471" s="23">
        <v>685.9</v>
      </c>
    </row>
    <row r="472">
      <c r="A472" s="32">
        <v>45950.0</v>
      </c>
      <c r="B472" s="23">
        <v>58.9</v>
      </c>
      <c r="C472" s="23">
        <v>678.8</v>
      </c>
    </row>
    <row r="473">
      <c r="A473" s="32">
        <v>45951.0</v>
      </c>
      <c r="B473" s="23">
        <v>59.1</v>
      </c>
      <c r="C473" s="23">
        <v>678.9</v>
      </c>
    </row>
    <row r="474">
      <c r="A474" s="32">
        <v>45952.0</v>
      </c>
      <c r="B474" s="23">
        <v>60.3</v>
      </c>
      <c r="C474" s="23">
        <v>689.9</v>
      </c>
    </row>
    <row r="475">
      <c r="A475" s="32">
        <v>45953.0</v>
      </c>
      <c r="B475" s="23">
        <v>63.9</v>
      </c>
      <c r="C475" s="23">
        <v>712.9</v>
      </c>
    </row>
    <row r="476">
      <c r="A476" s="32">
        <v>45954.0</v>
      </c>
      <c r="B476" s="23">
        <v>64.4</v>
      </c>
      <c r="C476" s="23">
        <v>718.0</v>
      </c>
    </row>
    <row r="477">
      <c r="A477" s="32">
        <v>45957.0</v>
      </c>
      <c r="B477" s="23">
        <v>63.6</v>
      </c>
      <c r="C477" s="23">
        <v>714.5</v>
      </c>
    </row>
    <row r="478">
      <c r="A478" s="32">
        <v>45958.0</v>
      </c>
      <c r="B478" s="23">
        <v>62.0</v>
      </c>
      <c r="C478" s="23">
        <v>717.5</v>
      </c>
    </row>
    <row r="479">
      <c r="A479" s="32">
        <v>45959.0</v>
      </c>
      <c r="B479" s="23">
        <v>62.6</v>
      </c>
      <c r="C479" s="23">
        <v>723.1</v>
      </c>
    </row>
    <row r="480">
      <c r="A480" s="32">
        <v>45960.0</v>
      </c>
      <c r="B480" s="23">
        <v>62.6</v>
      </c>
      <c r="C480" s="23">
        <v>723.9</v>
      </c>
    </row>
    <row r="481">
      <c r="A481" s="32">
        <v>45961.0</v>
      </c>
      <c r="B481" s="23">
        <v>63.1</v>
      </c>
      <c r="C481" s="23">
        <v>734.7</v>
      </c>
    </row>
    <row r="482">
      <c r="A482" s="31">
        <v>45964.0</v>
      </c>
      <c r="B482" s="23">
        <v>62.9</v>
      </c>
      <c r="C482" s="23">
        <v>725.7</v>
      </c>
    </row>
    <row r="483">
      <c r="A483" s="31">
        <v>45965.0</v>
      </c>
      <c r="B483" s="23">
        <v>62.6</v>
      </c>
      <c r="C483" s="23">
        <v>717.2</v>
      </c>
    </row>
    <row r="484">
      <c r="A484" s="31">
        <v>45966.0</v>
      </c>
      <c r="B484" s="23">
        <v>61.7</v>
      </c>
      <c r="C484" s="23">
        <v>716.0</v>
      </c>
    </row>
    <row r="485">
      <c r="A485" s="31">
        <v>45967.0</v>
      </c>
      <c r="B485" s="23">
        <v>61.2</v>
      </c>
      <c r="C485" s="23">
        <v>722.9</v>
      </c>
    </row>
    <row r="486">
      <c r="A486" s="31">
        <v>45968.0</v>
      </c>
      <c r="B486" s="23">
        <v>61.0</v>
      </c>
      <c r="C486" s="23">
        <v>718.3</v>
      </c>
    </row>
    <row r="487">
      <c r="A487" s="32">
        <v>45971.0</v>
      </c>
      <c r="B487" s="23">
        <v>61.3</v>
      </c>
      <c r="C487" s="23">
        <v>728.6</v>
      </c>
    </row>
    <row r="488">
      <c r="A488" s="32">
        <v>45972.0</v>
      </c>
      <c r="B488" s="23">
        <v>61.9</v>
      </c>
      <c r="C488" s="23">
        <v>739.3</v>
      </c>
    </row>
    <row r="489">
      <c r="A489" s="32">
        <v>45973.0</v>
      </c>
      <c r="B489" s="23">
        <v>59.6</v>
      </c>
      <c r="C489" s="23">
        <v>746.4</v>
      </c>
    </row>
    <row r="490">
      <c r="A490" s="32">
        <v>45974.0</v>
      </c>
      <c r="B490" s="23">
        <v>60.1</v>
      </c>
      <c r="C490" s="23">
        <v>739.4</v>
      </c>
    </row>
    <row r="491">
      <c r="A491" s="32">
        <v>45975.0</v>
      </c>
      <c r="B491" s="23">
        <v>61.3</v>
      </c>
      <c r="C491" s="23">
        <v>751.9</v>
      </c>
    </row>
    <row r="492">
      <c r="A492" s="32">
        <v>45978.0</v>
      </c>
      <c r="B492" s="23">
        <v>61.1</v>
      </c>
      <c r="C492" s="23">
        <v>740.2</v>
      </c>
    </row>
    <row r="493">
      <c r="A493" s="32">
        <v>45979.0</v>
      </c>
      <c r="B493" s="23">
        <v>61.6</v>
      </c>
      <c r="C493" s="23">
        <v>739.6</v>
      </c>
    </row>
    <row r="494">
      <c r="A494" s="32">
        <v>45980.0</v>
      </c>
      <c r="B494" s="23">
        <v>60.7</v>
      </c>
      <c r="C494" s="23">
        <v>721.0</v>
      </c>
    </row>
    <row r="495">
      <c r="A495" s="32">
        <v>45981.0</v>
      </c>
      <c r="B495" s="23">
        <v>60.7</v>
      </c>
      <c r="C495" s="23">
        <v>709.3</v>
      </c>
    </row>
    <row r="496">
      <c r="A496" s="32">
        <v>45982.0</v>
      </c>
      <c r="B496" s="23">
        <v>59.3</v>
      </c>
      <c r="C496" s="23">
        <v>694.1</v>
      </c>
    </row>
    <row r="497">
      <c r="A497" s="32">
        <v>45985.0</v>
      </c>
      <c r="B497" s="23">
        <v>59.9</v>
      </c>
      <c r="C497" s="23">
        <v>695.5</v>
      </c>
    </row>
    <row r="498">
      <c r="A498" s="32">
        <v>45986.0</v>
      </c>
      <c r="B498" s="23">
        <v>59.4</v>
      </c>
      <c r="C498" s="23">
        <v>683.1</v>
      </c>
    </row>
    <row r="499">
      <c r="A499" s="32">
        <v>45987.0</v>
      </c>
      <c r="B499" s="23">
        <v>59.9</v>
      </c>
      <c r="C499" s="23">
        <v>699.0</v>
      </c>
    </row>
    <row r="500">
      <c r="A500" s="32">
        <v>45988.0</v>
      </c>
      <c r="B500" s="23">
        <v>60.3</v>
      </c>
      <c r="C500" s="23">
        <v>705.2</v>
      </c>
    </row>
    <row r="501">
      <c r="A501" s="32">
        <v>45989.0</v>
      </c>
      <c r="B501" s="23">
        <v>59.8</v>
      </c>
      <c r="C501" s="23">
        <v>703.9</v>
      </c>
    </row>
    <row r="502">
      <c r="A502" s="31">
        <v>45992.0</v>
      </c>
      <c r="B502" s="23">
        <v>60.2</v>
      </c>
      <c r="C502" s="23">
        <v>702.6</v>
      </c>
    </row>
    <row r="503">
      <c r="A503" s="31">
        <v>45993.0</v>
      </c>
      <c r="B503" s="23">
        <v>59.7</v>
      </c>
      <c r="C503" s="23">
        <v>694.4</v>
      </c>
    </row>
    <row r="504">
      <c r="A504" s="31">
        <v>45994.0</v>
      </c>
      <c r="B504" s="23">
        <v>59.9</v>
      </c>
      <c r="C504" s="23">
        <v>694.7</v>
      </c>
    </row>
    <row r="505">
      <c r="A505" s="31">
        <v>45995.0</v>
      </c>
      <c r="B505" s="23">
        <v>60.4</v>
      </c>
      <c r="C505" s="23">
        <v>678.5</v>
      </c>
    </row>
    <row r="506">
      <c r="A506" s="31">
        <v>45996.0</v>
      </c>
      <c r="B506" s="23">
        <v>60.8</v>
      </c>
      <c r="C506" s="23">
        <v>680.3</v>
      </c>
    </row>
    <row r="507">
      <c r="A507" s="31">
        <v>45999.0</v>
      </c>
      <c r="B507" s="23">
        <v>59.6</v>
      </c>
      <c r="C507" s="23">
        <v>674.4</v>
      </c>
    </row>
    <row r="508">
      <c r="A508" s="31">
        <v>46000.0</v>
      </c>
      <c r="B508" s="23">
        <v>58.9</v>
      </c>
      <c r="C508" s="23">
        <v>668.8</v>
      </c>
    </row>
    <row r="509">
      <c r="A509" s="32">
        <v>46001.0</v>
      </c>
      <c r="B509" s="23">
        <v>58.9</v>
      </c>
      <c r="C509" s="23">
        <v>670.3</v>
      </c>
    </row>
    <row r="510">
      <c r="A510" s="32">
        <v>46002.0</v>
      </c>
      <c r="B510" s="23">
        <v>58.1</v>
      </c>
      <c r="C510" s="23">
        <v>659.9</v>
      </c>
    </row>
    <row r="511">
      <c r="A511" s="32">
        <v>46003.0</v>
      </c>
      <c r="B511" s="23">
        <v>57.9</v>
      </c>
      <c r="C511" s="23">
        <v>658.0</v>
      </c>
    </row>
    <row r="512">
      <c r="A512" s="32">
        <v>46006.0</v>
      </c>
      <c r="B512" s="23">
        <v>57.4</v>
      </c>
      <c r="C512" s="23">
        <v>644.9</v>
      </c>
    </row>
    <row r="513">
      <c r="A513" s="32">
        <v>46007.0</v>
      </c>
      <c r="B513" s="23">
        <v>55.7</v>
      </c>
      <c r="C513" s="23">
        <v>626.4</v>
      </c>
    </row>
    <row r="514">
      <c r="A514" s="32">
        <v>46008.0</v>
      </c>
      <c r="B514" s="23">
        <v>56.4</v>
      </c>
      <c r="C514" s="23">
        <v>623.4</v>
      </c>
    </row>
    <row r="515">
      <c r="A515" s="32">
        <v>46009.0</v>
      </c>
      <c r="B515" s="23">
        <v>56.4</v>
      </c>
      <c r="C515" s="23">
        <v>623.8</v>
      </c>
    </row>
    <row r="516">
      <c r="A516" s="32">
        <v>46010.0</v>
      </c>
      <c r="B516" s="23">
        <v>56.9</v>
      </c>
      <c r="C516" s="23">
        <v>618.0</v>
      </c>
    </row>
    <row r="517">
      <c r="A517" s="32">
        <v>46013.0</v>
      </c>
      <c r="B517" s="23">
        <v>58.3</v>
      </c>
      <c r="C517" s="23">
        <v>628.8</v>
      </c>
    </row>
    <row r="518">
      <c r="A518" s="32">
        <v>46014.0</v>
      </c>
      <c r="B518" s="23">
        <v>58.5</v>
      </c>
      <c r="C518" s="23">
        <v>631.4</v>
      </c>
    </row>
    <row r="519">
      <c r="A519" s="32">
        <v>46015.0</v>
      </c>
      <c r="B519" s="23">
        <v>58.7</v>
      </c>
      <c r="C519" s="23">
        <v>632.7</v>
      </c>
    </row>
    <row r="520">
      <c r="A520" s="32">
        <v>46016.0</v>
      </c>
      <c r="B520" s="23">
        <v>58.7</v>
      </c>
      <c r="C520" s="23">
        <v>632.7</v>
      </c>
    </row>
    <row r="521">
      <c r="A521" s="32">
        <v>46017.0</v>
      </c>
      <c r="B521" s="23">
        <v>57.8</v>
      </c>
      <c r="C521" s="23">
        <v>618.5</v>
      </c>
    </row>
    <row r="522">
      <c r="A522" s="32">
        <v>46020.0</v>
      </c>
      <c r="B522" s="23">
        <v>58.3</v>
      </c>
      <c r="C522" s="23">
        <v>623.3</v>
      </c>
    </row>
    <row r="523">
      <c r="A523" s="32">
        <v>46021.0</v>
      </c>
      <c r="B523" s="23">
        <v>58.2</v>
      </c>
      <c r="C523" s="23">
        <v>624.0</v>
      </c>
    </row>
    <row r="524">
      <c r="A524" s="32">
        <v>46022.0</v>
      </c>
      <c r="B524" s="23">
        <v>57.4</v>
      </c>
      <c r="C524" s="23">
        <v>621.8</v>
      </c>
    </row>
    <row r="525">
      <c r="A525" s="31">
        <v>46023.0</v>
      </c>
      <c r="B525" s="23">
        <v>57.4</v>
      </c>
      <c r="C525" s="23">
        <v>621.8</v>
      </c>
    </row>
    <row r="526">
      <c r="A526" s="31">
        <v>46024.0</v>
      </c>
      <c r="B526" s="23">
        <v>56.8</v>
      </c>
      <c r="C526" s="23">
        <v>614.9</v>
      </c>
    </row>
    <row r="527">
      <c r="A527" s="31">
        <v>46027.0</v>
      </c>
      <c r="B527" s="23">
        <v>57.9</v>
      </c>
      <c r="C527" s="23">
        <v>619.4</v>
      </c>
    </row>
    <row r="528">
      <c r="A528" s="31">
        <v>46028.0</v>
      </c>
      <c r="B528" s="23">
        <v>57.1</v>
      </c>
      <c r="C528" s="23">
        <v>621.9</v>
      </c>
    </row>
    <row r="529">
      <c r="A529" s="31">
        <v>46029.0</v>
      </c>
      <c r="B529" s="23">
        <v>56.2</v>
      </c>
      <c r="C529" s="23">
        <v>612.2</v>
      </c>
    </row>
    <row r="530">
      <c r="A530" s="31">
        <v>46030.0</v>
      </c>
      <c r="B530" s="23">
        <v>57.8</v>
      </c>
      <c r="C530" s="23">
        <v>627.0</v>
      </c>
    </row>
    <row r="531">
      <c r="A531" s="31">
        <v>46031.0</v>
      </c>
      <c r="B531" s="23">
        <v>59.4</v>
      </c>
      <c r="C531" s="23">
        <v>636.8</v>
      </c>
    </row>
    <row r="532">
      <c r="A532" s="32">
        <v>46034.0</v>
      </c>
      <c r="B532" s="23">
        <v>59.8</v>
      </c>
      <c r="C532" s="23">
        <v>641.1</v>
      </c>
    </row>
    <row r="533">
      <c r="A533" s="32">
        <v>46035.0</v>
      </c>
      <c r="B533" s="23">
        <v>61.3</v>
      </c>
      <c r="C533" s="23">
        <v>652.0</v>
      </c>
    </row>
    <row r="534">
      <c r="A534" s="32">
        <v>46036.0</v>
      </c>
      <c r="B534" s="23">
        <v>62.4</v>
      </c>
      <c r="C534" s="23">
        <v>647.6</v>
      </c>
    </row>
    <row r="535">
      <c r="A535" s="32">
        <v>46037.0</v>
      </c>
      <c r="B535" s="23">
        <v>60.0</v>
      </c>
      <c r="C535" s="23">
        <v>634.5</v>
      </c>
    </row>
    <row r="536">
      <c r="A536" s="32">
        <v>46038.0</v>
      </c>
      <c r="B536" s="23">
        <v>60.5</v>
      </c>
      <c r="C536" s="23">
        <v>630.9</v>
      </c>
    </row>
    <row r="537">
      <c r="A537" s="32">
        <v>46041.0</v>
      </c>
      <c r="B537" s="23">
        <v>60.5</v>
      </c>
      <c r="C537" s="23">
        <v>630.4</v>
      </c>
    </row>
    <row r="538">
      <c r="A538" s="32">
        <v>46042.0</v>
      </c>
      <c r="B538" s="23">
        <v>61.4</v>
      </c>
      <c r="C538" s="23">
        <v>639.0</v>
      </c>
    </row>
    <row r="539">
      <c r="A539" s="32">
        <v>46043.0</v>
      </c>
      <c r="B539" s="23">
        <v>61.8</v>
      </c>
      <c r="C539" s="23">
        <v>650.3</v>
      </c>
    </row>
    <row r="540">
      <c r="A540" s="32">
        <v>46044.0</v>
      </c>
      <c r="B540" s="23">
        <v>60.0</v>
      </c>
      <c r="C540" s="23">
        <v>646.9</v>
      </c>
    </row>
    <row r="541">
      <c r="A541" s="32">
        <v>46045.0</v>
      </c>
      <c r="B541" s="23">
        <v>61.4</v>
      </c>
      <c r="C541" s="23">
        <v>646.3</v>
      </c>
    </row>
    <row r="542">
      <c r="A542" s="32">
        <v>46048.0</v>
      </c>
      <c r="B542" s="23">
        <v>61.3</v>
      </c>
      <c r="C542" s="23">
        <v>647.4</v>
      </c>
    </row>
    <row r="543">
      <c r="A543" s="32">
        <v>46049.0</v>
      </c>
      <c r="B543" s="23">
        <v>62.3</v>
      </c>
      <c r="C543" s="23">
        <v>651.8</v>
      </c>
    </row>
    <row r="544">
      <c r="A544" s="32">
        <v>46050.0</v>
      </c>
      <c r="B544" s="23">
        <v>63.2</v>
      </c>
      <c r="C544" s="23">
        <v>661.6</v>
      </c>
    </row>
    <row r="545">
      <c r="A545" s="32">
        <v>46051.0</v>
      </c>
      <c r="B545" s="23">
        <v>65.6</v>
      </c>
      <c r="C545" s="23">
        <v>671.9</v>
      </c>
    </row>
    <row r="546">
      <c r="A546" s="32">
        <v>46052.0</v>
      </c>
      <c r="B546" s="23">
        <v>64.9</v>
      </c>
      <c r="C546" s="23">
        <v>672.1</v>
      </c>
    </row>
    <row r="547">
      <c r="A547" s="31">
        <v>46055.0</v>
      </c>
      <c r="B547" s="23">
        <v>61.6</v>
      </c>
      <c r="C547" s="23">
        <v>646.4</v>
      </c>
    </row>
    <row r="548">
      <c r="A548" s="31">
        <v>46056.0</v>
      </c>
      <c r="B548" s="23">
        <v>62.5</v>
      </c>
      <c r="C548" s="23">
        <v>647.3</v>
      </c>
    </row>
    <row r="549">
      <c r="A549" s="31">
        <v>46057.0</v>
      </c>
      <c r="B549" s="23">
        <v>64.6</v>
      </c>
      <c r="C549" s="23">
        <v>663.3</v>
      </c>
    </row>
    <row r="550">
      <c r="A550" s="31">
        <v>46058.0</v>
      </c>
      <c r="B550" s="23">
        <v>63.0</v>
      </c>
      <c r="C550" s="23">
        <v>663.9</v>
      </c>
    </row>
    <row r="551">
      <c r="A551" s="31">
        <v>46059.0</v>
      </c>
      <c r="B551" s="23">
        <v>64.0</v>
      </c>
      <c r="C551" s="23">
        <v>667.7</v>
      </c>
    </row>
    <row r="552">
      <c r="A552" s="31">
        <v>46062.0</v>
      </c>
      <c r="B552" s="23">
        <v>64.7</v>
      </c>
      <c r="C552" s="23">
        <v>673.7</v>
      </c>
    </row>
    <row r="553">
      <c r="A553" s="32">
        <v>46063.0</v>
      </c>
      <c r="B553" s="23">
        <v>64.4</v>
      </c>
      <c r="C553" s="23">
        <v>684.1</v>
      </c>
    </row>
    <row r="554">
      <c r="A554" s="32">
        <v>46064.0</v>
      </c>
      <c r="B554" s="23">
        <v>65.0</v>
      </c>
      <c r="C554" s="23">
        <v>685.0</v>
      </c>
    </row>
    <row r="555">
      <c r="A555" s="32">
        <v>46065.0</v>
      </c>
      <c r="B555" s="23">
        <v>63.3</v>
      </c>
      <c r="C555" s="23">
        <v>668.8</v>
      </c>
    </row>
    <row r="556">
      <c r="A556" s="32">
        <v>46066.0</v>
      </c>
      <c r="B556" s="23">
        <v>63.3</v>
      </c>
      <c r="C556" s="23">
        <v>655.3</v>
      </c>
    </row>
    <row r="557">
      <c r="A557" s="32">
        <v>46069.0</v>
      </c>
      <c r="B557" s="23">
        <v>63.9</v>
      </c>
      <c r="C557" s="23">
        <v>661.9</v>
      </c>
    </row>
    <row r="558">
      <c r="A558" s="32">
        <v>46070.0</v>
      </c>
      <c r="B558" s="23">
        <v>63.3</v>
      </c>
      <c r="C558" s="23">
        <v>662.4</v>
      </c>
    </row>
    <row r="559">
      <c r="A559" s="32">
        <v>46071.0</v>
      </c>
      <c r="B559" s="23">
        <v>65.2</v>
      </c>
      <c r="C559" s="23">
        <v>675.4</v>
      </c>
    </row>
    <row r="560">
      <c r="A560" s="32">
        <v>46072.0</v>
      </c>
      <c r="B560" s="23">
        <v>67.0</v>
      </c>
      <c r="C560" s="23">
        <v>692.8</v>
      </c>
    </row>
    <row r="561">
      <c r="A561" s="32">
        <v>46073.0</v>
      </c>
      <c r="B561" s="23">
        <v>66.8</v>
      </c>
      <c r="C561" s="23">
        <v>696.8</v>
      </c>
    </row>
    <row r="562">
      <c r="A562" s="32">
        <v>46076.0</v>
      </c>
      <c r="B562" s="23">
        <v>66.8</v>
      </c>
      <c r="C562" s="23">
        <v>694.2</v>
      </c>
    </row>
    <row r="563">
      <c r="A563" s="32">
        <v>46077.0</v>
      </c>
      <c r="B563" s="23">
        <v>65.7</v>
      </c>
      <c r="C563" s="23">
        <v>696.5</v>
      </c>
    </row>
    <row r="564">
      <c r="A564" s="32">
        <v>46078.0</v>
      </c>
      <c r="B564" s="23">
        <v>65.8</v>
      </c>
      <c r="C564" s="23">
        <v>701.7</v>
      </c>
    </row>
    <row r="565">
      <c r="A565" s="32">
        <v>46079.0</v>
      </c>
      <c r="B565" s="23">
        <v>66.0</v>
      </c>
      <c r="C565" s="23">
        <v>706.0</v>
      </c>
    </row>
    <row r="566">
      <c r="A566" s="32">
        <v>46080.0</v>
      </c>
      <c r="B566" s="23">
        <v>67.5</v>
      </c>
      <c r="C566" s="23">
        <v>689.0</v>
      </c>
    </row>
    <row r="567">
      <c r="A567" s="31">
        <v>46083.0</v>
      </c>
      <c r="B567" s="23">
        <v>72.2</v>
      </c>
      <c r="C567" s="23">
        <v>777.5</v>
      </c>
    </row>
    <row r="568">
      <c r="A568" s="31">
        <v>46084.0</v>
      </c>
      <c r="B568" s="23">
        <v>76.3</v>
      </c>
      <c r="C568" s="23">
        <v>812.0</v>
      </c>
    </row>
    <row r="569">
      <c r="A569" s="31">
        <v>46085.0</v>
      </c>
      <c r="B569" s="23">
        <v>77.0</v>
      </c>
      <c r="C569" s="23">
        <v>827.9</v>
      </c>
    </row>
    <row r="570">
      <c r="A570" s="31">
        <v>46086.0</v>
      </c>
      <c r="B570" s="23">
        <v>83.2</v>
      </c>
      <c r="C570" s="23">
        <v>873.2</v>
      </c>
    </row>
    <row r="571">
      <c r="A571" s="31">
        <v>46087.0</v>
      </c>
      <c r="B571" s="23">
        <v>94.4</v>
      </c>
      <c r="C571" s="23">
        <v>909.6</v>
      </c>
    </row>
    <row r="572">
      <c r="A572" s="31">
        <v>46090.0</v>
      </c>
      <c r="B572" s="23">
        <v>97.3</v>
      </c>
      <c r="C572" s="23">
        <v>992.5</v>
      </c>
    </row>
    <row r="573">
      <c r="A573" s="32">
        <v>46091.0</v>
      </c>
      <c r="B573" s="23">
        <v>92.7</v>
      </c>
      <c r="C573" s="23">
        <v>891.0</v>
      </c>
    </row>
    <row r="574">
      <c r="A574" s="32">
        <v>46092.0</v>
      </c>
      <c r="B574" s="23">
        <v>95.7</v>
      </c>
      <c r="C574" s="23">
        <v>939.1</v>
      </c>
    </row>
    <row r="575">
      <c r="A575" s="32">
        <v>46093.0</v>
      </c>
      <c r="B575" s="23">
        <v>105.9</v>
      </c>
      <c r="C575" s="23">
        <v>1052.9</v>
      </c>
    </row>
    <row r="576">
      <c r="A576" s="32">
        <v>46094.0</v>
      </c>
      <c r="B576" s="23">
        <v>110.1</v>
      </c>
      <c r="C576" s="23">
        <v>1073.1</v>
      </c>
    </row>
    <row r="577">
      <c r="A577" s="32">
        <v>46097.0</v>
      </c>
      <c r="B577" s="23">
        <v>109.2</v>
      </c>
      <c r="C577" s="23">
        <v>1092.7</v>
      </c>
    </row>
    <row r="578">
      <c r="A578" s="32">
        <v>46098.0</v>
      </c>
      <c r="B578" s="23">
        <v>110.7</v>
      </c>
      <c r="C578" s="23">
        <v>1085.5</v>
      </c>
    </row>
    <row r="579">
      <c r="A579" s="32">
        <v>46099.0</v>
      </c>
      <c r="B579" s="23">
        <v>116.9</v>
      </c>
      <c r="C579" s="23">
        <v>1087.2</v>
      </c>
    </row>
    <row r="580">
      <c r="A580" s="32">
        <v>46100.0</v>
      </c>
      <c r="B580" s="23">
        <v>118.0</v>
      </c>
      <c r="C580" s="23">
        <v>1125.4</v>
      </c>
    </row>
    <row r="581">
      <c r="A581" s="32">
        <v>46101.0</v>
      </c>
      <c r="B581" s="23">
        <v>120.1</v>
      </c>
      <c r="C581" s="23">
        <v>1180.2</v>
      </c>
    </row>
    <row r="582">
      <c r="A582" s="32">
        <v>46104.0</v>
      </c>
      <c r="B582" s="23">
        <v>110.3</v>
      </c>
      <c r="C582" s="23">
        <v>1161.8</v>
      </c>
    </row>
    <row r="583">
      <c r="A583" s="32">
        <v>46105.0</v>
      </c>
      <c r="B583" s="23">
        <v>113.0</v>
      </c>
      <c r="C583" s="23">
        <v>1146.3</v>
      </c>
    </row>
    <row r="584">
      <c r="A584" s="32">
        <v>46106.0</v>
      </c>
      <c r="B584" s="23">
        <v>109.4</v>
      </c>
      <c r="C584" s="23">
        <v>1128.1</v>
      </c>
    </row>
    <row r="585">
      <c r="A585" s="32">
        <v>46107.0</v>
      </c>
      <c r="B585" s="23">
        <v>108.0</v>
      </c>
      <c r="C585" s="23">
        <v>1173.8</v>
      </c>
    </row>
    <row r="586">
      <c r="A586" s="32">
        <v>46108.0</v>
      </c>
      <c r="B586" s="23">
        <v>112.6</v>
      </c>
      <c r="C586" s="23">
        <v>1122.7</v>
      </c>
    </row>
    <row r="587">
      <c r="A587" s="32">
        <v>46111.0</v>
      </c>
      <c r="B587" s="23">
        <v>115.4</v>
      </c>
      <c r="C587" s="23">
        <v>1169.2</v>
      </c>
    </row>
    <row r="588">
      <c r="A588" s="32">
        <v>46112.0</v>
      </c>
      <c r="B588" s="23">
        <v>115.7</v>
      </c>
      <c r="C588" s="23">
        <v>1162.2</v>
      </c>
    </row>
    <row r="589">
      <c r="A589" s="31">
        <v>46113.0</v>
      </c>
      <c r="B589" s="23">
        <v>103.4</v>
      </c>
      <c r="C589" s="23">
        <v>1121.0</v>
      </c>
    </row>
    <row r="590">
      <c r="A590" s="31">
        <v>46114.0</v>
      </c>
      <c r="B590" s="23">
        <v>116.1</v>
      </c>
      <c r="C590" s="23">
        <v>1176.8</v>
      </c>
    </row>
    <row r="591">
      <c r="A591" s="31">
        <v>46115.0</v>
      </c>
      <c r="B591" s="23">
        <v>116.1</v>
      </c>
      <c r="C591" s="23">
        <v>1176.8</v>
      </c>
    </row>
    <row r="592">
      <c r="A592" s="31">
        <v>46118.0</v>
      </c>
      <c r="B592" s="23">
        <v>116.0</v>
      </c>
      <c r="C592" s="23">
        <v>1189.5</v>
      </c>
    </row>
    <row r="593">
      <c r="A593" s="31">
        <v>46119.0</v>
      </c>
      <c r="B593" s="23">
        <v>116.7</v>
      </c>
      <c r="C593" s="23">
        <v>1177.7</v>
      </c>
    </row>
    <row r="594">
      <c r="A594" s="31">
        <v>46120.0</v>
      </c>
      <c r="B594" s="23">
        <v>102.4</v>
      </c>
      <c r="C594" s="23">
        <v>1059.9</v>
      </c>
    </row>
    <row r="595">
      <c r="A595" s="31">
        <v>46121.0</v>
      </c>
      <c r="B595" s="23">
        <v>104.2</v>
      </c>
      <c r="C595" s="23">
        <v>1096.4</v>
      </c>
    </row>
    <row r="596">
      <c r="A596" s="32">
        <v>46122.0</v>
      </c>
      <c r="B596" s="23">
        <v>101.0</v>
      </c>
      <c r="C596" s="23">
        <v>1081.2</v>
      </c>
    </row>
    <row r="597">
      <c r="A597" s="32">
        <v>46125.0</v>
      </c>
      <c r="B597" s="23">
        <v>105.9</v>
      </c>
      <c r="C597" s="23">
        <v>1102.2</v>
      </c>
    </row>
    <row r="598">
      <c r="A598" s="32">
        <v>46126.0</v>
      </c>
      <c r="B598" s="23">
        <v>101.3</v>
      </c>
      <c r="C598" s="23">
        <v>1066.9</v>
      </c>
    </row>
    <row r="599">
      <c r="A599" s="32">
        <v>46127.0</v>
      </c>
      <c r="B599" s="23">
        <v>101.1</v>
      </c>
      <c r="C599" s="23">
        <v>1037.2</v>
      </c>
    </row>
    <row r="600">
      <c r="A600" s="32">
        <v>46128.0</v>
      </c>
      <c r="B600" s="23">
        <v>103.2</v>
      </c>
      <c r="C600" s="23">
        <v>1059.9</v>
      </c>
    </row>
    <row r="601">
      <c r="A601" s="32">
        <v>46129.0</v>
      </c>
      <c r="B601" s="23">
        <v>92.4</v>
      </c>
      <c r="C601" s="23">
        <v>1032.2</v>
      </c>
    </row>
    <row r="602">
      <c r="A602" s="32">
        <v>46132.0</v>
      </c>
      <c r="B602" s="23">
        <v>94.9</v>
      </c>
      <c r="C602" s="23">
        <v>1054.3</v>
      </c>
    </row>
    <row r="603">
      <c r="A603" s="32">
        <v>46133.0</v>
      </c>
      <c r="B603" s="23">
        <v>97.2</v>
      </c>
      <c r="C603" s="23">
        <v>1065.2</v>
      </c>
    </row>
    <row r="604">
      <c r="A604" s="32">
        <v>46134.0</v>
      </c>
      <c r="B604" s="23">
        <v>100.7</v>
      </c>
      <c r="C604" s="23">
        <v>1101.9</v>
      </c>
    </row>
    <row r="605">
      <c r="A605" s="32">
        <v>46135.0</v>
      </c>
      <c r="B605" s="23">
        <v>104.4</v>
      </c>
      <c r="C605" s="23">
        <v>1140.3</v>
      </c>
    </row>
    <row r="606">
      <c r="A606" s="32">
        <v>46136.0</v>
      </c>
      <c r="B606" s="23">
        <v>104.2</v>
      </c>
      <c r="C606" s="23">
        <v>1147.9</v>
      </c>
    </row>
    <row r="607">
      <c r="A607" s="32">
        <v>46139.0</v>
      </c>
      <c r="B607" s="23">
        <v>105.5</v>
      </c>
      <c r="C607" s="23">
        <v>1154.0</v>
      </c>
    </row>
    <row r="608">
      <c r="A608" s="32">
        <v>46140.0</v>
      </c>
      <c r="B608" s="23">
        <v>107.9</v>
      </c>
      <c r="C608" s="23">
        <v>1163.7</v>
      </c>
    </row>
    <row r="609">
      <c r="A609" s="32">
        <v>46141.0</v>
      </c>
      <c r="B609" s="23">
        <v>114.4</v>
      </c>
      <c r="C609" s="23">
        <v>1200.4</v>
      </c>
    </row>
    <row r="610">
      <c r="A610" s="32">
        <v>46142.0</v>
      </c>
      <c r="B610" s="23">
        <v>110.8</v>
      </c>
      <c r="C610" s="23">
        <v>1248.0</v>
      </c>
    </row>
    <row r="611">
      <c r="A611" s="33">
        <v>46143.0</v>
      </c>
      <c r="B611" s="23">
        <v>108.1</v>
      </c>
      <c r="C611" s="23">
        <v>1228.2</v>
      </c>
    </row>
    <row r="612">
      <c r="A612" s="33">
        <v>46146.0</v>
      </c>
      <c r="B612" s="23">
        <v>108.8</v>
      </c>
      <c r="C612" s="23">
        <v>1210.6</v>
      </c>
    </row>
    <row r="613">
      <c r="A613" s="33">
        <v>46147.0</v>
      </c>
      <c r="B613" s="23">
        <v>108.1</v>
      </c>
      <c r="C613" s="23">
        <v>1228.1</v>
      </c>
    </row>
    <row r="614">
      <c r="A614" s="33">
        <v>46148.0</v>
      </c>
      <c r="B614" s="23">
        <v>98.6</v>
      </c>
      <c r="C614" s="23">
        <v>1165.1</v>
      </c>
    </row>
    <row r="615">
      <c r="A615" s="33">
        <v>46149.0</v>
      </c>
      <c r="B615" s="23">
        <v>96.3</v>
      </c>
      <c r="C615" s="23">
        <v>1145.7</v>
      </c>
    </row>
    <row r="616">
      <c r="A616" s="33">
        <v>46150.0</v>
      </c>
      <c r="B616" s="23">
        <v>98.0</v>
      </c>
      <c r="C616" s="23">
        <v>1155.1</v>
      </c>
    </row>
    <row r="617">
      <c r="A617" s="34">
        <v>46153.0</v>
      </c>
      <c r="B617" s="23">
        <v>101.1</v>
      </c>
      <c r="C617" s="23">
        <v>1189.0</v>
      </c>
    </row>
    <row r="618">
      <c r="A618" s="34">
        <v>46154.0</v>
      </c>
      <c r="B618" s="23">
        <v>105.1</v>
      </c>
      <c r="C618" s="23">
        <v>1220.0</v>
      </c>
    </row>
    <row r="619">
      <c r="A619" s="34">
        <v>46155.0</v>
      </c>
      <c r="B619" s="23">
        <v>102.4</v>
      </c>
      <c r="C619" s="23">
        <v>1213.4</v>
      </c>
    </row>
    <row r="620">
      <c r="A620" s="34">
        <v>46156.0</v>
      </c>
      <c r="B620" s="23">
        <v>102.3</v>
      </c>
      <c r="C620" s="23">
        <v>1214.4</v>
      </c>
    </row>
    <row r="621">
      <c r="A621" s="34">
        <v>46157.0</v>
      </c>
      <c r="B621" s="23">
        <v>106.4</v>
      </c>
      <c r="C621" s="23">
        <v>1222.5</v>
      </c>
    </row>
    <row r="622">
      <c r="A622" s="34">
        <v>46160.0</v>
      </c>
      <c r="B622" s="23">
        <v>108.9</v>
      </c>
      <c r="C622" s="23">
        <v>1232.2</v>
      </c>
    </row>
    <row r="623">
      <c r="A623" s="34">
        <v>46161.0</v>
      </c>
      <c r="B623" s="23">
        <v>108.3</v>
      </c>
      <c r="C623" s="23">
        <v>1235.5</v>
      </c>
    </row>
    <row r="624">
      <c r="A624" s="34">
        <v>46162.0</v>
      </c>
      <c r="B624" s="23">
        <v>101.1</v>
      </c>
      <c r="C624" s="23">
        <v>1192.4</v>
      </c>
    </row>
    <row r="625">
      <c r="A625" s="34">
        <v>46163.0</v>
      </c>
      <c r="B625" s="23">
        <v>100.9</v>
      </c>
      <c r="C625" s="23">
        <v>1170.1</v>
      </c>
    </row>
    <row r="626">
      <c r="A626" s="34">
        <v>46164.0</v>
      </c>
      <c r="B626" s="23">
        <v>100.4</v>
      </c>
      <c r="C626" s="23">
        <v>1148.1</v>
      </c>
    </row>
    <row r="627">
      <c r="A627" s="34">
        <v>46167.0</v>
      </c>
      <c r="B627" s="23">
        <v>98.4</v>
      </c>
      <c r="C627" s="23">
        <v>1126.0</v>
      </c>
    </row>
    <row r="628">
      <c r="A628" s="34">
        <v>46168.0</v>
      </c>
      <c r="B628" s="23">
        <v>96.4</v>
      </c>
      <c r="C628" s="23">
        <v>1088.8</v>
      </c>
    </row>
    <row r="629">
      <c r="A629" s="34">
        <v>46169.0</v>
      </c>
      <c r="B629" s="23">
        <v>92.7</v>
      </c>
      <c r="C629" s="23">
        <v>1055.1</v>
      </c>
    </row>
    <row r="630">
      <c r="A630" s="34">
        <v>46170.0</v>
      </c>
      <c r="B630" s="23">
        <v>91.2</v>
      </c>
      <c r="C630" s="23">
        <v>1066.7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690</v>
      </c>
      <c r="B1" s="23" t="s">
        <v>736</v>
      </c>
      <c r="C1" s="23" t="s">
        <v>737</v>
      </c>
      <c r="D1" s="23" t="s">
        <v>738</v>
      </c>
      <c r="I1" s="23" t="s">
        <v>690</v>
      </c>
      <c r="J1" s="23" t="s">
        <v>736</v>
      </c>
      <c r="K1" s="23" t="s">
        <v>737</v>
      </c>
      <c r="L1" s="23" t="s">
        <v>738</v>
      </c>
      <c r="O1" s="23" t="s">
        <v>690</v>
      </c>
      <c r="P1" s="23" t="s">
        <v>736</v>
      </c>
      <c r="Q1" s="23" t="s">
        <v>737</v>
      </c>
      <c r="R1" s="23" t="s">
        <v>738</v>
      </c>
    </row>
    <row r="2">
      <c r="A2" s="23">
        <v>2000.0</v>
      </c>
      <c r="B2" s="23" t="s">
        <v>739</v>
      </c>
      <c r="C2" s="23">
        <v>100.0</v>
      </c>
      <c r="D2" s="23">
        <v>76.72</v>
      </c>
      <c r="I2" s="23">
        <v>2000.0</v>
      </c>
      <c r="J2" s="23" t="s">
        <v>739</v>
      </c>
      <c r="K2" s="23">
        <v>100.0</v>
      </c>
      <c r="L2" s="23">
        <v>76.72</v>
      </c>
      <c r="O2" s="23">
        <v>2000.0</v>
      </c>
      <c r="P2" s="23" t="s">
        <v>740</v>
      </c>
      <c r="Q2" s="23">
        <v>100.0</v>
      </c>
      <c r="R2" s="23">
        <v>77.28</v>
      </c>
    </row>
    <row r="3">
      <c r="A3" s="23">
        <v>2001.0</v>
      </c>
      <c r="B3" s="23" t="s">
        <v>739</v>
      </c>
      <c r="C3" s="23">
        <v>106.6966737</v>
      </c>
      <c r="D3" s="23">
        <v>76.78</v>
      </c>
      <c r="I3" s="23">
        <v>2001.0</v>
      </c>
      <c r="J3" s="23" t="s">
        <v>739</v>
      </c>
      <c r="K3" s="23">
        <v>106.6966737</v>
      </c>
      <c r="L3" s="23">
        <v>76.78</v>
      </c>
      <c r="O3" s="23">
        <v>2001.0</v>
      </c>
      <c r="P3" s="23" t="s">
        <v>740</v>
      </c>
      <c r="Q3" s="23">
        <v>102.1778387</v>
      </c>
      <c r="R3" s="23">
        <v>77.3</v>
      </c>
    </row>
    <row r="4">
      <c r="A4" s="23">
        <v>2002.0</v>
      </c>
      <c r="B4" s="23" t="s">
        <v>739</v>
      </c>
      <c r="C4" s="23">
        <v>114.8652317</v>
      </c>
      <c r="D4" s="23">
        <v>76.75</v>
      </c>
      <c r="I4" s="23">
        <v>2002.0</v>
      </c>
      <c r="J4" s="23" t="s">
        <v>739</v>
      </c>
      <c r="K4" s="23">
        <v>114.8652317</v>
      </c>
      <c r="L4" s="23">
        <v>76.75</v>
      </c>
      <c r="O4" s="23">
        <v>2002.0</v>
      </c>
      <c r="P4" s="23" t="s">
        <v>740</v>
      </c>
      <c r="Q4" s="23">
        <v>104.311526</v>
      </c>
      <c r="R4" s="23">
        <v>77.27</v>
      </c>
    </row>
    <row r="5">
      <c r="A5" s="23">
        <v>2003.0</v>
      </c>
      <c r="B5" s="23" t="s">
        <v>739</v>
      </c>
      <c r="C5" s="23">
        <v>118.4053366</v>
      </c>
      <c r="D5" s="23">
        <v>76.81</v>
      </c>
      <c r="I5" s="23">
        <v>2003.0</v>
      </c>
      <c r="J5" s="23" t="s">
        <v>739</v>
      </c>
      <c r="K5" s="23">
        <v>118.4053366</v>
      </c>
      <c r="L5" s="23">
        <v>76.81</v>
      </c>
      <c r="O5" s="23">
        <v>2003.0</v>
      </c>
      <c r="P5" s="23" t="s">
        <v>740</v>
      </c>
      <c r="Q5" s="23">
        <v>107.5794253</v>
      </c>
      <c r="R5" s="23">
        <v>77.27</v>
      </c>
    </row>
    <row r="6">
      <c r="A6" s="23">
        <v>2004.0</v>
      </c>
      <c r="B6" s="23" t="s">
        <v>739</v>
      </c>
      <c r="C6" s="23">
        <v>131.4999168</v>
      </c>
      <c r="D6" s="23">
        <v>76.74</v>
      </c>
      <c r="I6" s="23">
        <v>2004.0</v>
      </c>
      <c r="J6" s="23" t="s">
        <v>739</v>
      </c>
      <c r="K6" s="23">
        <v>131.4999168</v>
      </c>
      <c r="L6" s="23">
        <v>76.74</v>
      </c>
      <c r="O6" s="23">
        <v>2004.0</v>
      </c>
      <c r="P6" s="23" t="s">
        <v>740</v>
      </c>
      <c r="Q6" s="23">
        <v>108.197045</v>
      </c>
      <c r="R6" s="23">
        <v>77.3</v>
      </c>
    </row>
    <row r="7">
      <c r="A7" s="23">
        <v>2005.0</v>
      </c>
      <c r="B7" s="23" t="s">
        <v>739</v>
      </c>
      <c r="C7" s="23">
        <v>138.4911179</v>
      </c>
      <c r="D7" s="23">
        <v>76.78</v>
      </c>
      <c r="I7" s="23">
        <v>2005.0</v>
      </c>
      <c r="J7" s="23" t="s">
        <v>739</v>
      </c>
      <c r="K7" s="23">
        <v>138.4911179</v>
      </c>
      <c r="L7" s="23">
        <v>76.78</v>
      </c>
      <c r="O7" s="23">
        <v>2005.0</v>
      </c>
      <c r="P7" s="23" t="s">
        <v>740</v>
      </c>
      <c r="Q7" s="23">
        <v>111.4468009</v>
      </c>
      <c r="R7" s="23">
        <v>77.29</v>
      </c>
    </row>
    <row r="8">
      <c r="A8" s="23">
        <v>2006.0</v>
      </c>
      <c r="B8" s="23" t="s">
        <v>739</v>
      </c>
      <c r="C8" s="23">
        <v>150.4992339</v>
      </c>
      <c r="D8" s="23">
        <v>76.66</v>
      </c>
      <c r="I8" s="23">
        <v>2006.0</v>
      </c>
      <c r="J8" s="23" t="s">
        <v>739</v>
      </c>
      <c r="K8" s="23">
        <v>150.4992339</v>
      </c>
      <c r="L8" s="23">
        <v>76.66</v>
      </c>
      <c r="O8" s="23">
        <v>2006.0</v>
      </c>
      <c r="P8" s="23" t="s">
        <v>740</v>
      </c>
      <c r="Q8" s="23">
        <v>114.6784192</v>
      </c>
      <c r="R8" s="23">
        <v>77.28</v>
      </c>
    </row>
    <row r="9">
      <c r="A9" s="23">
        <v>2007.0</v>
      </c>
      <c r="B9" s="23" t="s">
        <v>739</v>
      </c>
      <c r="C9" s="23">
        <v>163.7877868</v>
      </c>
      <c r="D9" s="23">
        <v>76.455</v>
      </c>
      <c r="I9" s="23">
        <v>2007.0</v>
      </c>
      <c r="J9" s="23" t="s">
        <v>739</v>
      </c>
      <c r="K9" s="23">
        <v>163.7877868</v>
      </c>
      <c r="L9" s="23">
        <v>76.455</v>
      </c>
      <c r="O9" s="23">
        <v>2007.0</v>
      </c>
      <c r="P9" s="23" t="s">
        <v>740</v>
      </c>
      <c r="Q9" s="23">
        <v>118.4693339</v>
      </c>
      <c r="R9" s="23">
        <v>77.31</v>
      </c>
    </row>
    <row r="10">
      <c r="A10" s="23">
        <v>2008.0</v>
      </c>
      <c r="B10" s="23" t="s">
        <v>739</v>
      </c>
      <c r="C10" s="23">
        <v>182.0406399</v>
      </c>
      <c r="D10" s="23">
        <v>76.265</v>
      </c>
      <c r="I10" s="23">
        <v>2008.0</v>
      </c>
      <c r="J10" s="23" t="s">
        <v>739</v>
      </c>
      <c r="K10" s="23">
        <v>182.0406399</v>
      </c>
      <c r="L10" s="23">
        <v>76.265</v>
      </c>
      <c r="O10" s="23">
        <v>2008.0</v>
      </c>
      <c r="P10" s="23" t="s">
        <v>740</v>
      </c>
      <c r="Q10" s="23">
        <v>122.0925235</v>
      </c>
      <c r="R10" s="23">
        <v>77.27</v>
      </c>
    </row>
    <row r="11">
      <c r="A11" s="23">
        <v>2009.0</v>
      </c>
      <c r="B11" s="23" t="s">
        <v>739</v>
      </c>
      <c r="C11" s="23">
        <v>173.4368739</v>
      </c>
      <c r="D11" s="23">
        <v>76.535</v>
      </c>
      <c r="I11" s="23">
        <v>2009.0</v>
      </c>
      <c r="J11" s="23" t="s">
        <v>739</v>
      </c>
      <c r="K11" s="23">
        <v>173.4368739</v>
      </c>
      <c r="L11" s="23">
        <v>76.535</v>
      </c>
      <c r="O11" s="23">
        <v>2009.0</v>
      </c>
      <c r="P11" s="23" t="s">
        <v>740</v>
      </c>
      <c r="Q11" s="23">
        <v>118.1679951</v>
      </c>
      <c r="R11" s="23">
        <v>77.28</v>
      </c>
    </row>
    <row r="12">
      <c r="A12" s="23">
        <v>2010.0</v>
      </c>
      <c r="B12" s="23" t="s">
        <v>739</v>
      </c>
      <c r="C12" s="23">
        <v>167.6556108</v>
      </c>
      <c r="D12" s="23">
        <v>76.225</v>
      </c>
      <c r="I12" s="23">
        <v>2010.0</v>
      </c>
      <c r="J12" s="23" t="s">
        <v>739</v>
      </c>
      <c r="K12" s="23">
        <v>167.6556108</v>
      </c>
      <c r="L12" s="23">
        <v>76.225</v>
      </c>
      <c r="O12" s="23">
        <v>2010.0</v>
      </c>
      <c r="P12" s="23" t="s">
        <v>740</v>
      </c>
      <c r="Q12" s="23">
        <v>120.1661302</v>
      </c>
      <c r="R12" s="23">
        <v>77.29</v>
      </c>
    </row>
    <row r="13">
      <c r="A13" s="23">
        <v>2011.0</v>
      </c>
      <c r="B13" s="23" t="s">
        <v>739</v>
      </c>
      <c r="C13" s="23">
        <v>176.0565547</v>
      </c>
      <c r="D13" s="23">
        <v>76.215</v>
      </c>
      <c r="I13" s="23">
        <v>2011.0</v>
      </c>
      <c r="J13" s="23" t="s">
        <v>739</v>
      </c>
      <c r="K13" s="23">
        <v>176.0565547</v>
      </c>
      <c r="L13" s="23">
        <v>76.215</v>
      </c>
      <c r="O13" s="23">
        <v>2011.0</v>
      </c>
      <c r="P13" s="23" t="s">
        <v>740</v>
      </c>
      <c r="Q13" s="23">
        <v>118.280896</v>
      </c>
      <c r="R13" s="23">
        <v>77.2</v>
      </c>
    </row>
    <row r="14">
      <c r="A14" s="23">
        <v>2012.0</v>
      </c>
      <c r="B14" s="23" t="s">
        <v>739</v>
      </c>
      <c r="C14" s="23">
        <v>180.2084624</v>
      </c>
      <c r="D14" s="23">
        <v>75.945</v>
      </c>
      <c r="I14" s="23">
        <v>2012.0</v>
      </c>
      <c r="J14" s="23" t="s">
        <v>739</v>
      </c>
      <c r="K14" s="23">
        <v>180.2084624</v>
      </c>
      <c r="L14" s="23">
        <v>75.945</v>
      </c>
      <c r="O14" s="23">
        <v>2012.0</v>
      </c>
      <c r="P14" s="23" t="s">
        <v>740</v>
      </c>
      <c r="Q14" s="23">
        <v>109.8257144</v>
      </c>
      <c r="R14" s="23">
        <v>77.19</v>
      </c>
    </row>
    <row r="15">
      <c r="A15" s="23">
        <v>2013.0</v>
      </c>
      <c r="B15" s="23" t="s">
        <v>739</v>
      </c>
      <c r="C15" s="23">
        <v>181.3831013</v>
      </c>
      <c r="D15" s="23">
        <v>76.13</v>
      </c>
      <c r="I15" s="23">
        <v>2013.0</v>
      </c>
      <c r="J15" s="23" t="s">
        <v>739</v>
      </c>
      <c r="K15" s="23">
        <v>181.3831013</v>
      </c>
      <c r="L15" s="23">
        <v>76.13</v>
      </c>
      <c r="O15" s="23">
        <v>2013.0</v>
      </c>
      <c r="P15" s="23" t="s">
        <v>740</v>
      </c>
      <c r="Q15" s="23">
        <v>107.6374737</v>
      </c>
      <c r="R15" s="23">
        <v>76.96</v>
      </c>
    </row>
    <row r="16">
      <c r="A16" s="23">
        <v>2014.0</v>
      </c>
      <c r="B16" s="23" t="s">
        <v>739</v>
      </c>
      <c r="C16" s="23">
        <v>189.5575397</v>
      </c>
      <c r="D16" s="23">
        <v>75.75</v>
      </c>
      <c r="I16" s="23">
        <v>2014.0</v>
      </c>
      <c r="J16" s="23" t="s">
        <v>739</v>
      </c>
      <c r="K16" s="23">
        <v>189.5575397</v>
      </c>
      <c r="L16" s="23">
        <v>75.75</v>
      </c>
      <c r="O16" s="23">
        <v>2014.0</v>
      </c>
      <c r="P16" s="23" t="s">
        <v>740</v>
      </c>
      <c r="Q16" s="23">
        <v>109.2152846</v>
      </c>
      <c r="R16" s="23">
        <v>76.91</v>
      </c>
    </row>
    <row r="17">
      <c r="A17" s="23">
        <v>2015.0</v>
      </c>
      <c r="B17" s="23" t="s">
        <v>739</v>
      </c>
      <c r="C17" s="23">
        <v>196.4632524</v>
      </c>
      <c r="D17" s="23">
        <v>75.72</v>
      </c>
      <c r="I17" s="23">
        <v>2015.0</v>
      </c>
      <c r="J17" s="23" t="s">
        <v>739</v>
      </c>
      <c r="K17" s="23">
        <v>196.4632524</v>
      </c>
      <c r="L17" s="23">
        <v>75.72</v>
      </c>
      <c r="O17" s="23">
        <v>2015.0</v>
      </c>
      <c r="P17" s="23" t="s">
        <v>740</v>
      </c>
      <c r="Q17" s="23">
        <v>109.6862489</v>
      </c>
      <c r="R17" s="23">
        <v>76.86</v>
      </c>
    </row>
    <row r="18">
      <c r="A18" s="23">
        <v>2016.0</v>
      </c>
      <c r="B18" s="23" t="s">
        <v>739</v>
      </c>
      <c r="C18" s="23">
        <v>203.2445655</v>
      </c>
      <c r="D18" s="23">
        <v>75.87</v>
      </c>
      <c r="I18" s="23">
        <v>2016.0</v>
      </c>
      <c r="J18" s="23" t="s">
        <v>739</v>
      </c>
      <c r="K18" s="23">
        <v>203.2445655</v>
      </c>
      <c r="L18" s="23">
        <v>75.87</v>
      </c>
      <c r="O18" s="23">
        <v>2016.0</v>
      </c>
      <c r="P18" s="23" t="s">
        <v>740</v>
      </c>
      <c r="Q18" s="23">
        <v>110.1083784</v>
      </c>
      <c r="R18" s="23">
        <v>76.8</v>
      </c>
    </row>
    <row r="19">
      <c r="A19" s="23">
        <v>2017.0</v>
      </c>
      <c r="B19" s="23" t="s">
        <v>739</v>
      </c>
      <c r="C19" s="23">
        <v>209.5325109</v>
      </c>
      <c r="D19" s="23">
        <v>75.455</v>
      </c>
      <c r="I19" s="23">
        <v>2017.0</v>
      </c>
      <c r="J19" s="23" t="s">
        <v>739</v>
      </c>
      <c r="K19" s="23">
        <v>209.5325109</v>
      </c>
      <c r="L19" s="23">
        <v>75.455</v>
      </c>
      <c r="O19" s="23">
        <v>2017.0</v>
      </c>
      <c r="P19" s="23" t="s">
        <v>740</v>
      </c>
      <c r="Q19" s="23">
        <v>111.9516149</v>
      </c>
      <c r="R19" s="23">
        <v>76.77</v>
      </c>
    </row>
    <row r="20">
      <c r="A20" s="23">
        <v>2018.0</v>
      </c>
      <c r="B20" s="23" t="s">
        <v>739</v>
      </c>
      <c r="C20" s="23">
        <v>215.2592681</v>
      </c>
      <c r="D20" s="23">
        <v>75.4</v>
      </c>
      <c r="I20" s="23">
        <v>2018.0</v>
      </c>
      <c r="J20" s="23" t="s">
        <v>739</v>
      </c>
      <c r="K20" s="23">
        <v>215.2592681</v>
      </c>
      <c r="L20" s="23">
        <v>75.4</v>
      </c>
      <c r="O20" s="23">
        <v>2018.0</v>
      </c>
      <c r="P20" s="23" t="s">
        <v>740</v>
      </c>
      <c r="Q20" s="23">
        <v>114.4951011</v>
      </c>
      <c r="R20" s="23">
        <v>76.82</v>
      </c>
    </row>
    <row r="21">
      <c r="A21" s="23">
        <v>2019.0</v>
      </c>
      <c r="B21" s="23" t="s">
        <v>739</v>
      </c>
      <c r="C21" s="23">
        <v>219.9073652</v>
      </c>
      <c r="D21" s="23">
        <v>75.45</v>
      </c>
      <c r="I21" s="23">
        <v>2019.0</v>
      </c>
      <c r="J21" s="23" t="s">
        <v>739</v>
      </c>
      <c r="K21" s="23">
        <v>219.9073652</v>
      </c>
      <c r="L21" s="23">
        <v>75.45</v>
      </c>
      <c r="O21" s="23">
        <v>2019.0</v>
      </c>
      <c r="P21" s="23" t="s">
        <v>740</v>
      </c>
      <c r="Q21" s="23">
        <v>119.6959941</v>
      </c>
      <c r="R21" s="23">
        <v>76.85</v>
      </c>
    </row>
    <row r="22">
      <c r="A22" s="23">
        <v>2000.0</v>
      </c>
      <c r="B22" s="23" t="s">
        <v>740</v>
      </c>
      <c r="C22" s="23">
        <v>100.0</v>
      </c>
      <c r="D22" s="23">
        <v>77.28</v>
      </c>
    </row>
    <row r="23">
      <c r="A23" s="23">
        <v>2001.0</v>
      </c>
      <c r="B23" s="23" t="s">
        <v>740</v>
      </c>
      <c r="C23" s="23">
        <v>102.1778387</v>
      </c>
      <c r="D23" s="23">
        <v>77.3</v>
      </c>
    </row>
    <row r="24">
      <c r="A24" s="23">
        <v>2002.0</v>
      </c>
      <c r="B24" s="23" t="s">
        <v>740</v>
      </c>
      <c r="C24" s="23">
        <v>104.311526</v>
      </c>
      <c r="D24" s="23">
        <v>77.27</v>
      </c>
    </row>
    <row r="25">
      <c r="A25" s="23">
        <v>2003.0</v>
      </c>
      <c r="B25" s="23" t="s">
        <v>740</v>
      </c>
      <c r="C25" s="23">
        <v>107.5794253</v>
      </c>
      <c r="D25" s="23">
        <v>77.27</v>
      </c>
      <c r="I25" s="29" t="s">
        <v>690</v>
      </c>
      <c r="J25" s="23" t="s">
        <v>739</v>
      </c>
      <c r="K25" s="23" t="s">
        <v>740</v>
      </c>
      <c r="N25" s="29" t="s">
        <v>690</v>
      </c>
      <c r="O25" s="23" t="s">
        <v>739</v>
      </c>
      <c r="P25" s="23" t="s">
        <v>740</v>
      </c>
    </row>
    <row r="26">
      <c r="A26" s="23">
        <v>2004.0</v>
      </c>
      <c r="B26" s="23" t="s">
        <v>740</v>
      </c>
      <c r="C26" s="23">
        <v>108.197045</v>
      </c>
      <c r="D26" s="23">
        <v>77.3</v>
      </c>
      <c r="I26" s="29">
        <v>2000.0</v>
      </c>
      <c r="J26" s="29">
        <v>100.0</v>
      </c>
      <c r="K26" s="23">
        <v>100.0</v>
      </c>
      <c r="N26" s="29">
        <v>2000.0</v>
      </c>
      <c r="O26" s="23">
        <v>76.72</v>
      </c>
      <c r="P26" s="23">
        <v>77.28</v>
      </c>
    </row>
    <row r="27">
      <c r="A27" s="23">
        <v>2005.0</v>
      </c>
      <c r="B27" s="23" t="s">
        <v>740</v>
      </c>
      <c r="C27" s="23">
        <v>111.4468009</v>
      </c>
      <c r="D27" s="23">
        <v>77.29</v>
      </c>
      <c r="I27" s="29">
        <v>2001.0</v>
      </c>
      <c r="J27" s="29">
        <v>106.6966737</v>
      </c>
      <c r="K27" s="23">
        <v>102.1778387</v>
      </c>
      <c r="N27" s="29">
        <v>2001.0</v>
      </c>
      <c r="O27" s="23">
        <v>76.78</v>
      </c>
      <c r="P27" s="23">
        <v>77.3</v>
      </c>
    </row>
    <row r="28">
      <c r="A28" s="23">
        <v>2006.0</v>
      </c>
      <c r="B28" s="23" t="s">
        <v>740</v>
      </c>
      <c r="C28" s="23">
        <v>114.6784192</v>
      </c>
      <c r="D28" s="23">
        <v>77.28</v>
      </c>
      <c r="I28" s="29">
        <v>2002.0</v>
      </c>
      <c r="J28" s="29">
        <v>114.8652317</v>
      </c>
      <c r="K28" s="23">
        <v>104.311526</v>
      </c>
      <c r="N28" s="29">
        <v>2002.0</v>
      </c>
      <c r="O28" s="23">
        <v>76.75</v>
      </c>
      <c r="P28" s="23">
        <v>77.27</v>
      </c>
    </row>
    <row r="29">
      <c r="A29" s="23">
        <v>2007.0</v>
      </c>
      <c r="B29" s="23" t="s">
        <v>740</v>
      </c>
      <c r="C29" s="23">
        <v>118.4693339</v>
      </c>
      <c r="D29" s="23">
        <v>77.31</v>
      </c>
      <c r="I29" s="29">
        <v>2003.0</v>
      </c>
      <c r="J29" s="29">
        <v>118.4053366</v>
      </c>
      <c r="K29" s="23">
        <v>107.5794253</v>
      </c>
      <c r="N29" s="29">
        <v>2003.0</v>
      </c>
      <c r="O29" s="23">
        <v>76.81</v>
      </c>
      <c r="P29" s="23">
        <v>77.27</v>
      </c>
    </row>
    <row r="30">
      <c r="A30" s="23">
        <v>2008.0</v>
      </c>
      <c r="B30" s="23" t="s">
        <v>740</v>
      </c>
      <c r="C30" s="23">
        <v>122.0925235</v>
      </c>
      <c r="D30" s="23">
        <v>77.27</v>
      </c>
      <c r="I30" s="29">
        <v>2004.0</v>
      </c>
      <c r="J30" s="29">
        <v>131.4999168</v>
      </c>
      <c r="K30" s="23">
        <v>108.197045</v>
      </c>
      <c r="N30" s="29">
        <v>2004.0</v>
      </c>
      <c r="O30" s="23">
        <v>76.74</v>
      </c>
      <c r="P30" s="23">
        <v>77.3</v>
      </c>
    </row>
    <row r="31">
      <c r="A31" s="23">
        <v>2009.0</v>
      </c>
      <c r="B31" s="23" t="s">
        <v>740</v>
      </c>
      <c r="C31" s="23">
        <v>118.1679951</v>
      </c>
      <c r="D31" s="23">
        <v>77.28</v>
      </c>
      <c r="I31" s="29">
        <v>2005.0</v>
      </c>
      <c r="J31" s="29">
        <v>138.4911179</v>
      </c>
      <c r="K31" s="23">
        <v>111.4468009</v>
      </c>
      <c r="N31" s="29">
        <v>2005.0</v>
      </c>
      <c r="O31" s="23">
        <v>76.78</v>
      </c>
      <c r="P31" s="23">
        <v>77.29</v>
      </c>
    </row>
    <row r="32">
      <c r="A32" s="23">
        <v>2010.0</v>
      </c>
      <c r="B32" s="23" t="s">
        <v>740</v>
      </c>
      <c r="C32" s="23">
        <v>120.1661302</v>
      </c>
      <c r="D32" s="23">
        <v>77.29</v>
      </c>
      <c r="I32" s="29">
        <v>2006.0</v>
      </c>
      <c r="J32" s="29">
        <v>150.4992339</v>
      </c>
      <c r="K32" s="23">
        <v>114.6784192</v>
      </c>
      <c r="N32" s="29">
        <v>2006.0</v>
      </c>
      <c r="O32" s="23">
        <v>76.66</v>
      </c>
      <c r="P32" s="23">
        <v>77.28</v>
      </c>
    </row>
    <row r="33">
      <c r="A33" s="23">
        <v>2011.0</v>
      </c>
      <c r="B33" s="23" t="s">
        <v>740</v>
      </c>
      <c r="C33" s="23">
        <v>118.280896</v>
      </c>
      <c r="D33" s="23">
        <v>77.2</v>
      </c>
      <c r="I33" s="29">
        <v>2007.0</v>
      </c>
      <c r="J33" s="29">
        <v>163.7877868</v>
      </c>
      <c r="K33" s="23">
        <v>118.4693339</v>
      </c>
      <c r="N33" s="29">
        <v>2007.0</v>
      </c>
      <c r="O33" s="23">
        <v>76.455</v>
      </c>
      <c r="P33" s="23">
        <v>77.31</v>
      </c>
    </row>
    <row r="34">
      <c r="A34" s="23">
        <v>2012.0</v>
      </c>
      <c r="B34" s="23" t="s">
        <v>740</v>
      </c>
      <c r="C34" s="23">
        <v>109.8257144</v>
      </c>
      <c r="D34" s="23">
        <v>77.19</v>
      </c>
      <c r="I34" s="29">
        <v>2008.0</v>
      </c>
      <c r="J34" s="29">
        <v>182.0406399</v>
      </c>
      <c r="K34" s="23">
        <v>122.0925235</v>
      </c>
      <c r="N34" s="29">
        <v>2008.0</v>
      </c>
      <c r="O34" s="23">
        <v>76.265</v>
      </c>
      <c r="P34" s="23">
        <v>77.27</v>
      </c>
    </row>
    <row r="35">
      <c r="A35" s="23">
        <v>2013.0</v>
      </c>
      <c r="B35" s="23" t="s">
        <v>740</v>
      </c>
      <c r="C35" s="23">
        <v>107.6374737</v>
      </c>
      <c r="D35" s="23">
        <v>76.96</v>
      </c>
      <c r="I35" s="29">
        <v>2009.0</v>
      </c>
      <c r="J35" s="29">
        <v>173.4368739</v>
      </c>
      <c r="K35" s="23">
        <v>118.1679951</v>
      </c>
      <c r="N35" s="29">
        <v>2009.0</v>
      </c>
      <c r="O35" s="23">
        <v>76.535</v>
      </c>
      <c r="P35" s="23">
        <v>77.28</v>
      </c>
    </row>
    <row r="36">
      <c r="A36" s="23">
        <v>2014.0</v>
      </c>
      <c r="B36" s="23" t="s">
        <v>740</v>
      </c>
      <c r="C36" s="23">
        <v>109.2152846</v>
      </c>
      <c r="D36" s="23">
        <v>76.91</v>
      </c>
      <c r="I36" s="29">
        <v>2010.0</v>
      </c>
      <c r="J36" s="29">
        <v>167.6556108</v>
      </c>
      <c r="K36" s="23">
        <v>120.1661302</v>
      </c>
      <c r="N36" s="29">
        <v>2010.0</v>
      </c>
      <c r="O36" s="23">
        <v>76.225</v>
      </c>
      <c r="P36" s="23">
        <v>77.29</v>
      </c>
    </row>
    <row r="37">
      <c r="A37" s="23">
        <v>2015.0</v>
      </c>
      <c r="B37" s="23" t="s">
        <v>740</v>
      </c>
      <c r="C37" s="23">
        <v>109.6862489</v>
      </c>
      <c r="D37" s="23">
        <v>76.86</v>
      </c>
      <c r="I37" s="29">
        <v>2011.0</v>
      </c>
      <c r="J37" s="29">
        <v>176.0565547</v>
      </c>
      <c r="K37" s="23">
        <v>118.280896</v>
      </c>
      <c r="N37" s="29">
        <v>2011.0</v>
      </c>
      <c r="O37" s="23">
        <v>76.215</v>
      </c>
      <c r="P37" s="23">
        <v>77.2</v>
      </c>
    </row>
    <row r="38">
      <c r="A38" s="23">
        <v>2016.0</v>
      </c>
      <c r="B38" s="23" t="s">
        <v>740</v>
      </c>
      <c r="C38" s="23">
        <v>110.1083784</v>
      </c>
      <c r="D38" s="23">
        <v>76.8</v>
      </c>
      <c r="I38" s="29">
        <v>2012.0</v>
      </c>
      <c r="J38" s="29">
        <v>180.2084624</v>
      </c>
      <c r="K38" s="23">
        <v>109.8257144</v>
      </c>
      <c r="N38" s="29">
        <v>2012.0</v>
      </c>
      <c r="O38" s="23">
        <v>75.945</v>
      </c>
      <c r="P38" s="23">
        <v>77.19</v>
      </c>
    </row>
    <row r="39">
      <c r="A39" s="23">
        <v>2017.0</v>
      </c>
      <c r="B39" s="23" t="s">
        <v>740</v>
      </c>
      <c r="C39" s="23">
        <v>111.9516149</v>
      </c>
      <c r="D39" s="23">
        <v>76.77</v>
      </c>
      <c r="I39" s="29">
        <v>2013.0</v>
      </c>
      <c r="J39" s="29">
        <v>181.3831013</v>
      </c>
      <c r="K39" s="23">
        <v>107.6374737</v>
      </c>
      <c r="N39" s="29">
        <v>2013.0</v>
      </c>
      <c r="O39" s="23">
        <v>76.13</v>
      </c>
      <c r="P39" s="23">
        <v>76.96</v>
      </c>
    </row>
    <row r="40">
      <c r="A40" s="23">
        <v>2018.0</v>
      </c>
      <c r="B40" s="23" t="s">
        <v>740</v>
      </c>
      <c r="C40" s="23">
        <v>114.4951011</v>
      </c>
      <c r="D40" s="23">
        <v>76.82</v>
      </c>
      <c r="I40" s="29">
        <v>2014.0</v>
      </c>
      <c r="J40" s="29">
        <v>189.5575397</v>
      </c>
      <c r="K40" s="23">
        <v>109.2152846</v>
      </c>
      <c r="N40" s="29">
        <v>2014.0</v>
      </c>
      <c r="O40" s="23">
        <v>75.75</v>
      </c>
      <c r="P40" s="23">
        <v>76.91</v>
      </c>
    </row>
    <row r="41">
      <c r="A41" s="23">
        <v>2019.0</v>
      </c>
      <c r="B41" s="23" t="s">
        <v>740</v>
      </c>
      <c r="C41" s="23">
        <v>119.6959941</v>
      </c>
      <c r="D41" s="23">
        <v>76.85</v>
      </c>
      <c r="I41" s="29">
        <v>2015.0</v>
      </c>
      <c r="J41" s="29">
        <v>196.4632524</v>
      </c>
      <c r="K41" s="23">
        <v>109.6862489</v>
      </c>
      <c r="N41" s="29">
        <v>2015.0</v>
      </c>
      <c r="O41" s="23">
        <v>75.72</v>
      </c>
      <c r="P41" s="23">
        <v>76.86</v>
      </c>
    </row>
    <row r="42">
      <c r="I42" s="29">
        <v>2016.0</v>
      </c>
      <c r="J42" s="29">
        <v>203.2445655</v>
      </c>
      <c r="K42" s="23">
        <v>110.1083784</v>
      </c>
      <c r="N42" s="29">
        <v>2016.0</v>
      </c>
      <c r="O42" s="23">
        <v>75.87</v>
      </c>
      <c r="P42" s="23">
        <v>76.8</v>
      </c>
    </row>
    <row r="43">
      <c r="I43" s="29">
        <v>2017.0</v>
      </c>
      <c r="J43" s="29">
        <v>209.5325109</v>
      </c>
      <c r="K43" s="23">
        <v>111.9516149</v>
      </c>
      <c r="N43" s="29">
        <v>2017.0</v>
      </c>
      <c r="O43" s="23">
        <v>75.455</v>
      </c>
      <c r="P43" s="23">
        <v>76.77</v>
      </c>
    </row>
    <row r="44">
      <c r="I44" s="29">
        <v>2018.0</v>
      </c>
      <c r="J44" s="29">
        <v>215.2592681</v>
      </c>
      <c r="K44" s="23">
        <v>114.4951011</v>
      </c>
      <c r="N44" s="29">
        <v>2018.0</v>
      </c>
      <c r="O44" s="23">
        <v>75.4</v>
      </c>
      <c r="P44" s="23">
        <v>76.82</v>
      </c>
    </row>
    <row r="45">
      <c r="I45" s="29">
        <v>2019.0</v>
      </c>
      <c r="J45" s="29">
        <v>219.9073652</v>
      </c>
      <c r="K45" s="23">
        <v>119.6959941</v>
      </c>
      <c r="N45" s="29">
        <v>2019.0</v>
      </c>
      <c r="O45" s="23">
        <v>75.45</v>
      </c>
      <c r="P45" s="23">
        <v>76.85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4" max="4" width="39.88"/>
  </cols>
  <sheetData>
    <row r="1">
      <c r="A1" s="23" t="s">
        <v>602</v>
      </c>
      <c r="B1" s="23" t="s">
        <v>736</v>
      </c>
      <c r="C1" s="23" t="s">
        <v>741</v>
      </c>
      <c r="D1" s="23" t="s">
        <v>742</v>
      </c>
    </row>
    <row r="2">
      <c r="A2" s="23">
        <v>2014.0</v>
      </c>
      <c r="B2" s="23" t="s">
        <v>743</v>
      </c>
      <c r="C2" s="23">
        <v>100.0</v>
      </c>
      <c r="D2" s="23" t="s">
        <v>744</v>
      </c>
      <c r="I2" s="35"/>
      <c r="J2" s="35"/>
      <c r="K2" s="35"/>
    </row>
    <row r="3">
      <c r="A3" s="23">
        <v>2014.0</v>
      </c>
      <c r="B3" s="23" t="s">
        <v>743</v>
      </c>
      <c r="C3" s="23">
        <v>13.926</v>
      </c>
      <c r="D3" s="23" t="s">
        <v>745</v>
      </c>
      <c r="I3" s="35"/>
      <c r="J3" s="35"/>
      <c r="K3" s="35"/>
    </row>
    <row r="4">
      <c r="A4" s="23">
        <v>2022.0</v>
      </c>
      <c r="B4" s="23" t="s">
        <v>743</v>
      </c>
      <c r="C4" s="23">
        <v>110.4594064</v>
      </c>
      <c r="D4" s="23" t="s">
        <v>744</v>
      </c>
      <c r="I4" s="35"/>
      <c r="J4" s="35"/>
      <c r="K4" s="35"/>
    </row>
    <row r="5">
      <c r="A5" s="23">
        <v>2022.0</v>
      </c>
      <c r="B5" s="23" t="s">
        <v>743</v>
      </c>
      <c r="C5" s="23">
        <v>11.469106</v>
      </c>
      <c r="D5" s="23" t="s">
        <v>745</v>
      </c>
      <c r="I5" s="35"/>
      <c r="J5" s="35"/>
      <c r="K5" s="35"/>
    </row>
    <row r="6">
      <c r="A6" s="23">
        <v>2014.0</v>
      </c>
      <c r="B6" s="23" t="s">
        <v>746</v>
      </c>
      <c r="C6" s="23">
        <v>100.0</v>
      </c>
      <c r="D6" s="23" t="s">
        <v>744</v>
      </c>
      <c r="I6" s="35"/>
      <c r="J6" s="35"/>
      <c r="K6" s="35"/>
    </row>
    <row r="7">
      <c r="A7" s="23">
        <v>2014.0</v>
      </c>
      <c r="B7" s="23" t="s">
        <v>746</v>
      </c>
      <c r="C7" s="23">
        <v>11.62453</v>
      </c>
      <c r="D7" s="23" t="s">
        <v>745</v>
      </c>
      <c r="I7" s="35"/>
      <c r="J7" s="35"/>
      <c r="K7" s="35"/>
    </row>
    <row r="8">
      <c r="A8" s="23">
        <v>2022.0</v>
      </c>
      <c r="B8" s="36" t="s">
        <v>746</v>
      </c>
      <c r="C8" s="36">
        <v>125.9190174</v>
      </c>
      <c r="D8" s="36" t="s">
        <v>744</v>
      </c>
      <c r="E8" s="37"/>
      <c r="I8" s="35"/>
      <c r="J8" s="35"/>
      <c r="K8" s="35"/>
    </row>
    <row r="9">
      <c r="A9" s="23">
        <v>2022.0</v>
      </c>
      <c r="B9" s="38" t="s">
        <v>746</v>
      </c>
      <c r="C9" s="35">
        <v>13.99586</v>
      </c>
      <c r="D9" s="35" t="s">
        <v>745</v>
      </c>
      <c r="E9" s="39"/>
      <c r="I9" s="35"/>
      <c r="J9" s="35"/>
      <c r="K9" s="35"/>
    </row>
    <row r="10">
      <c r="B10" s="35"/>
      <c r="C10" s="35"/>
      <c r="D10" s="35"/>
      <c r="E10" s="39"/>
      <c r="I10" s="35"/>
      <c r="J10" s="35"/>
      <c r="K10" s="35"/>
    </row>
    <row r="11">
      <c r="E11" s="39"/>
    </row>
    <row r="12">
      <c r="E12" s="39"/>
    </row>
    <row r="13">
      <c r="A13" s="23" t="s">
        <v>677</v>
      </c>
      <c r="B13" s="23" t="s">
        <v>747</v>
      </c>
      <c r="C13" s="23" t="s">
        <v>748</v>
      </c>
      <c r="E13" s="39"/>
      <c r="G13" s="23" t="s">
        <v>677</v>
      </c>
      <c r="H13" s="23" t="s">
        <v>747</v>
      </c>
      <c r="I13" s="23" t="s">
        <v>748</v>
      </c>
    </row>
    <row r="14">
      <c r="A14" s="23">
        <v>2014.0</v>
      </c>
      <c r="B14" s="23" t="s">
        <v>743</v>
      </c>
      <c r="C14" s="23">
        <v>100.0</v>
      </c>
      <c r="D14" s="23" t="s">
        <v>744</v>
      </c>
      <c r="E14" s="39"/>
      <c r="G14" s="23">
        <v>2014.0</v>
      </c>
      <c r="H14" s="23" t="s">
        <v>743</v>
      </c>
      <c r="I14" s="27">
        <v>13.926</v>
      </c>
      <c r="J14" s="27" t="s">
        <v>745</v>
      </c>
    </row>
    <row r="15">
      <c r="A15" s="23">
        <v>2022.0</v>
      </c>
      <c r="B15" s="23" t="s">
        <v>743</v>
      </c>
      <c r="C15" s="23">
        <v>110.4594064</v>
      </c>
      <c r="D15" s="23" t="s">
        <v>744</v>
      </c>
      <c r="E15" s="39"/>
      <c r="G15" s="23">
        <v>2022.0</v>
      </c>
      <c r="H15" s="23" t="s">
        <v>743</v>
      </c>
      <c r="I15" s="27">
        <v>11.469106</v>
      </c>
      <c r="J15" s="27" t="s">
        <v>745</v>
      </c>
    </row>
    <row r="16">
      <c r="A16" s="23">
        <v>2014.0</v>
      </c>
      <c r="B16" s="23" t="s">
        <v>746</v>
      </c>
      <c r="C16" s="23">
        <v>100.0</v>
      </c>
      <c r="D16" s="23" t="s">
        <v>744</v>
      </c>
      <c r="E16" s="39"/>
      <c r="G16" s="23">
        <v>2014.0</v>
      </c>
      <c r="H16" s="23" t="s">
        <v>746</v>
      </c>
      <c r="I16" s="27">
        <v>11.62453</v>
      </c>
      <c r="J16" s="27" t="s">
        <v>745</v>
      </c>
    </row>
    <row r="17">
      <c r="A17" s="23">
        <v>2022.0</v>
      </c>
      <c r="B17" s="23" t="s">
        <v>746</v>
      </c>
      <c r="C17" s="23">
        <v>125.9190174</v>
      </c>
      <c r="D17" s="23" t="s">
        <v>744</v>
      </c>
      <c r="E17" s="39"/>
      <c r="G17" s="23">
        <v>2022.0</v>
      </c>
      <c r="H17" s="23" t="s">
        <v>746</v>
      </c>
      <c r="I17" s="27">
        <v>13.99586</v>
      </c>
      <c r="J17" s="27" t="s">
        <v>745</v>
      </c>
    </row>
    <row r="18">
      <c r="E18" s="39"/>
    </row>
    <row r="19">
      <c r="E19" s="39"/>
    </row>
    <row r="20">
      <c r="A20" s="40"/>
      <c r="B20" s="39"/>
      <c r="C20" s="39"/>
      <c r="D20" s="39"/>
      <c r="E20" s="39"/>
    </row>
    <row r="21">
      <c r="A21" s="23" t="s">
        <v>747</v>
      </c>
      <c r="B21" s="35">
        <v>2014.0</v>
      </c>
      <c r="C21" s="35">
        <v>2022.0</v>
      </c>
      <c r="D21" s="39"/>
      <c r="E21" s="39"/>
    </row>
    <row r="22">
      <c r="A22" s="23" t="s">
        <v>743</v>
      </c>
      <c r="B22" s="27">
        <v>13.926</v>
      </c>
      <c r="C22" s="27">
        <v>11.469106</v>
      </c>
      <c r="D22" s="39"/>
      <c r="E22" s="39"/>
    </row>
    <row r="23">
      <c r="A23" s="23" t="s">
        <v>746</v>
      </c>
      <c r="B23" s="27">
        <v>11.62453</v>
      </c>
      <c r="C23" s="27">
        <v>13.99586</v>
      </c>
      <c r="D23" s="39"/>
      <c r="E23" s="39"/>
    </row>
    <row r="24">
      <c r="A24" s="40"/>
      <c r="C24" s="35"/>
      <c r="D24" s="35"/>
    </row>
    <row r="25">
      <c r="A25" s="40"/>
      <c r="C25" s="35"/>
      <c r="D25" s="35"/>
      <c r="E25" s="39"/>
    </row>
    <row r="26">
      <c r="C26" s="35"/>
      <c r="D26" s="35"/>
      <c r="E26" s="39"/>
    </row>
    <row r="27">
      <c r="I27" s="35"/>
      <c r="J27" s="39"/>
      <c r="K27" s="39"/>
    </row>
    <row r="28">
      <c r="I28" s="35"/>
      <c r="J28" s="39"/>
      <c r="K28" s="39"/>
    </row>
    <row r="29">
      <c r="I29" s="35"/>
      <c r="J29" s="39"/>
      <c r="K29" s="39"/>
    </row>
    <row r="30">
      <c r="I30" s="35"/>
      <c r="J30" s="39"/>
      <c r="K30" s="39"/>
    </row>
    <row r="31">
      <c r="I31" s="35"/>
      <c r="J31" s="39"/>
      <c r="K31" s="39"/>
    </row>
    <row r="32">
      <c r="I32" s="35"/>
      <c r="J32" s="39"/>
      <c r="K32" s="39"/>
    </row>
    <row r="33">
      <c r="I33" s="35"/>
      <c r="J33" s="39"/>
      <c r="K33" s="39"/>
    </row>
    <row r="34">
      <c r="I34" s="39"/>
      <c r="J34" s="39"/>
      <c r="K34" s="39"/>
    </row>
    <row r="35">
      <c r="I35" s="39"/>
      <c r="J35" s="39"/>
      <c r="K35" s="39"/>
    </row>
    <row r="36">
      <c r="I36" s="39"/>
      <c r="J36" s="39"/>
      <c r="K36" s="39"/>
    </row>
    <row r="37">
      <c r="I37" s="39"/>
      <c r="J37" s="39"/>
      <c r="K37" s="39"/>
    </row>
    <row r="38">
      <c r="I38" s="39"/>
      <c r="J38" s="39"/>
      <c r="K38" s="39"/>
    </row>
    <row r="39">
      <c r="I39" s="39"/>
      <c r="J39" s="39"/>
      <c r="K39" s="39"/>
    </row>
    <row r="40">
      <c r="I40" s="39"/>
      <c r="J40" s="39"/>
      <c r="K40" s="39"/>
    </row>
    <row r="41">
      <c r="I41" s="39"/>
      <c r="J41" s="39"/>
      <c r="K41" s="39"/>
    </row>
    <row r="42">
      <c r="I42" s="39"/>
      <c r="J42" s="39"/>
      <c r="K42" s="39"/>
    </row>
    <row r="43">
      <c r="I43" s="39"/>
      <c r="J43" s="39"/>
      <c r="K43" s="39"/>
    </row>
    <row r="44">
      <c r="I44" s="39"/>
      <c r="J44" s="39"/>
      <c r="K44" s="39"/>
    </row>
    <row r="45">
      <c r="A45" s="40"/>
    </row>
    <row r="46">
      <c r="A46" s="40"/>
    </row>
    <row r="47">
      <c r="A47" s="40"/>
    </row>
    <row r="48">
      <c r="A48" s="40"/>
    </row>
    <row r="49">
      <c r="A49" s="40"/>
    </row>
    <row r="50">
      <c r="A50" s="40"/>
    </row>
    <row r="51">
      <c r="A51" s="40"/>
    </row>
    <row r="52">
      <c r="A52" s="40"/>
    </row>
    <row r="53">
      <c r="A53" s="40"/>
    </row>
    <row r="54">
      <c r="A54" s="40"/>
    </row>
    <row r="55">
      <c r="A55" s="4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23" t="s">
        <v>749</v>
      </c>
      <c r="B1" s="23" t="s">
        <v>750</v>
      </c>
      <c r="C1" s="23" t="s">
        <v>751</v>
      </c>
      <c r="D1" s="23" t="s">
        <v>750</v>
      </c>
      <c r="E1" s="23" t="s">
        <v>752</v>
      </c>
    </row>
    <row r="2">
      <c r="A2" s="23" t="s">
        <v>139</v>
      </c>
      <c r="B2" s="23">
        <v>95.464</v>
      </c>
      <c r="C2" s="29" t="str">
        <f>VLOOKUP(A2, Sheet11!A:B,2,false)</f>
        <v>Cyprus</v>
      </c>
      <c r="D2" s="23">
        <v>95.464</v>
      </c>
      <c r="E2" s="23">
        <v>19738.54</v>
      </c>
      <c r="F2" s="23" t="s">
        <v>753</v>
      </c>
    </row>
    <row r="3">
      <c r="A3" s="23" t="s">
        <v>52</v>
      </c>
      <c r="B3" s="23">
        <v>94.88889</v>
      </c>
      <c r="C3" s="29" t="str">
        <f>VLOOKUP(A3, Sheet11!A:B,2,false)</f>
        <v>Belarus</v>
      </c>
      <c r="D3" s="23">
        <v>94.88889</v>
      </c>
      <c r="E3" s="23">
        <v>6238.306</v>
      </c>
    </row>
    <row r="4">
      <c r="A4" s="23" t="s">
        <v>307</v>
      </c>
      <c r="B4" s="23">
        <v>89.07121</v>
      </c>
      <c r="C4" s="29" t="str">
        <f>VLOOKUP(A4, Sheet11!A:B,2,false)</f>
        <v>Lithuania</v>
      </c>
      <c r="D4" s="23">
        <v>89.07121</v>
      </c>
      <c r="E4" s="23">
        <v>17150.16</v>
      </c>
    </row>
    <row r="5">
      <c r="A5" s="23" t="s">
        <v>340</v>
      </c>
      <c r="B5" s="23">
        <v>84.40457</v>
      </c>
      <c r="C5" s="29" t="str">
        <f>VLOOKUP(A5, Sheet11!A:B,2,false)</f>
        <v>Mexico</v>
      </c>
      <c r="D5" s="23">
        <v>84.40457</v>
      </c>
      <c r="E5" s="23">
        <v>10032.34</v>
      </c>
    </row>
    <row r="6">
      <c r="A6" s="23" t="s">
        <v>487</v>
      </c>
      <c r="B6" s="23">
        <v>80.76667</v>
      </c>
      <c r="C6" s="29" t="str">
        <f>VLOOKUP(A6, Sheet11!A:B,2,false)</f>
        <v>South Africa</v>
      </c>
      <c r="D6" s="23">
        <v>80.76667</v>
      </c>
      <c r="E6" s="23">
        <v>5906.275</v>
      </c>
    </row>
    <row r="7">
      <c r="A7" s="23" t="s">
        <v>184</v>
      </c>
      <c r="B7" s="23">
        <v>78.375</v>
      </c>
      <c r="C7" s="29" t="str">
        <f>VLOOKUP(A7, Sheet11!A:B,2,false)</f>
        <v>Finland</v>
      </c>
      <c r="D7" s="23">
        <v>78.375</v>
      </c>
      <c r="E7" s="23">
        <v>44929.83</v>
      </c>
    </row>
    <row r="8">
      <c r="A8" s="23" t="s">
        <v>541</v>
      </c>
      <c r="B8" s="23">
        <v>77.44444</v>
      </c>
      <c r="C8" s="29" t="str">
        <f>VLOOKUP(A8, Sheet11!A:B,2,false)</f>
        <v>Tunisia</v>
      </c>
      <c r="D8" s="23">
        <v>77.44444</v>
      </c>
      <c r="E8" s="23">
        <v>3998.618</v>
      </c>
    </row>
    <row r="9">
      <c r="A9" s="23" t="s">
        <v>376</v>
      </c>
      <c r="B9" s="23">
        <v>76.025</v>
      </c>
      <c r="C9" s="29" t="str">
        <f>VLOOKUP(A9, Sheet11!A:B,2,false)</f>
        <v>Netherlands (the)</v>
      </c>
      <c r="D9" s="23">
        <v>76.025</v>
      </c>
      <c r="E9" s="23">
        <v>48862.03</v>
      </c>
    </row>
    <row r="10">
      <c r="A10" s="23" t="s">
        <v>511</v>
      </c>
      <c r="B10" s="23">
        <v>71.6</v>
      </c>
      <c r="C10" s="29" t="str">
        <f>VLOOKUP(A10, Sheet11!A:B,2,false)</f>
        <v>Switzerland</v>
      </c>
      <c r="D10" s="23">
        <v>71.6</v>
      </c>
      <c r="E10" s="23">
        <v>87131.35</v>
      </c>
    </row>
    <row r="11">
      <c r="A11" s="23" t="s">
        <v>172</v>
      </c>
      <c r="B11" s="23">
        <v>71.3</v>
      </c>
      <c r="C11" s="29" t="str">
        <f>VLOOKUP(A11, Sheet11!A:B,2,false)</f>
        <v>Estonia</v>
      </c>
      <c r="D11" s="23">
        <v>71.3</v>
      </c>
      <c r="E11" s="23">
        <v>19849.76</v>
      </c>
    </row>
    <row r="12">
      <c r="A12" s="23" t="s">
        <v>310</v>
      </c>
      <c r="B12" s="23">
        <v>70.925</v>
      </c>
      <c r="C12" s="29" t="str">
        <f>VLOOKUP(A12, Sheet11!A:B,2,false)</f>
        <v>Luxembourg</v>
      </c>
      <c r="D12" s="23">
        <v>70.925</v>
      </c>
      <c r="E12" s="23">
        <v>106852.1</v>
      </c>
    </row>
    <row r="13">
      <c r="A13" s="23" t="s">
        <v>250</v>
      </c>
      <c r="B13" s="23">
        <v>70.3</v>
      </c>
      <c r="C13" s="29" t="str">
        <f>VLOOKUP(A13, Sheet11!A:B,2,false)</f>
        <v>Ireland</v>
      </c>
      <c r="D13" s="23">
        <v>70.3</v>
      </c>
      <c r="E13" s="23">
        <v>80823.91</v>
      </c>
    </row>
    <row r="14">
      <c r="A14" s="23" t="s">
        <v>508</v>
      </c>
      <c r="B14" s="23">
        <v>70.125</v>
      </c>
      <c r="C14" s="29" t="str">
        <f>VLOOKUP(A14, Sheet11!A:B,2,false)</f>
        <v>Sweden</v>
      </c>
      <c r="D14" s="23">
        <v>70.125</v>
      </c>
      <c r="E14" s="23">
        <v>52801.0</v>
      </c>
    </row>
    <row r="15">
      <c r="A15" s="23" t="s">
        <v>55</v>
      </c>
      <c r="B15" s="23">
        <v>68.775</v>
      </c>
      <c r="C15" s="29" t="str">
        <f>VLOOKUP(A15, Sheet11!A:B,2,false)</f>
        <v>Belgium</v>
      </c>
      <c r="D15" s="23">
        <v>68.775</v>
      </c>
      <c r="E15" s="23">
        <v>42720.94</v>
      </c>
    </row>
    <row r="16">
      <c r="A16" s="23" t="s">
        <v>379</v>
      </c>
      <c r="B16" s="23">
        <v>68.0</v>
      </c>
      <c r="C16" s="29" t="str">
        <f>VLOOKUP(A16, Sheet11!A:B,2,false)</f>
        <v>New Zealand</v>
      </c>
      <c r="D16" s="23">
        <v>68.0</v>
      </c>
      <c r="E16" s="23">
        <v>40794.51</v>
      </c>
    </row>
    <row r="17">
      <c r="A17" s="23" t="s">
        <v>31</v>
      </c>
      <c r="B17" s="23">
        <v>67.975</v>
      </c>
      <c r="C17" s="29" t="str">
        <f>VLOOKUP(A17, Sheet11!A:B,2,false)</f>
        <v>Australia</v>
      </c>
      <c r="D17" s="23">
        <v>67.975</v>
      </c>
      <c r="E17" s="23">
        <v>59294.27</v>
      </c>
    </row>
    <row r="18">
      <c r="A18" s="23" t="s">
        <v>145</v>
      </c>
      <c r="B18" s="23">
        <v>67.975</v>
      </c>
      <c r="C18" s="29" t="str">
        <f>VLOOKUP(A18, Sheet11!A:B,2,false)</f>
        <v>Denmark</v>
      </c>
      <c r="D18" s="23">
        <v>67.975</v>
      </c>
      <c r="E18" s="23">
        <v>57062.09</v>
      </c>
    </row>
    <row r="19">
      <c r="A19" s="23" t="s">
        <v>100</v>
      </c>
      <c r="B19" s="23">
        <v>66.97083</v>
      </c>
      <c r="C19" s="29" t="str">
        <f>VLOOKUP(A19, Sheet11!A:B,2,false)</f>
        <v>Canada</v>
      </c>
      <c r="D19" s="23">
        <v>66.97083</v>
      </c>
      <c r="E19" s="23">
        <v>44363.73</v>
      </c>
    </row>
    <row r="20">
      <c r="A20" s="23" t="s">
        <v>235</v>
      </c>
      <c r="B20" s="23">
        <v>66.9</v>
      </c>
      <c r="C20" s="29" t="str">
        <f>VLOOKUP(A20, Sheet11!A:B,2,false)</f>
        <v>Iceland</v>
      </c>
      <c r="D20" s="23">
        <v>66.9</v>
      </c>
      <c r="E20" s="23">
        <v>56474.63</v>
      </c>
    </row>
    <row r="21">
      <c r="A21" s="23" t="s">
        <v>280</v>
      </c>
      <c r="B21" s="23">
        <v>64.675</v>
      </c>
      <c r="C21" s="29" t="str">
        <f>VLOOKUP(A21, Sheet11!A:B,2,false)</f>
        <v>Korea (the Republic of)</v>
      </c>
      <c r="D21" s="23">
        <v>64.675</v>
      </c>
      <c r="E21" s="23">
        <v>33672.03</v>
      </c>
    </row>
    <row r="22">
      <c r="A22" s="23" t="s">
        <v>253</v>
      </c>
      <c r="B22" s="23">
        <v>64.375</v>
      </c>
      <c r="C22" s="29" t="str">
        <f>VLOOKUP(A22, Sheet11!A:B,2,false)</f>
        <v>Israel</v>
      </c>
      <c r="D22" s="23">
        <v>64.375</v>
      </c>
      <c r="E22" s="23">
        <v>39452.05</v>
      </c>
    </row>
    <row r="23">
      <c r="A23" s="23" t="s">
        <v>292</v>
      </c>
      <c r="B23" s="23">
        <v>63.5</v>
      </c>
      <c r="C23" s="29" t="str">
        <f>VLOOKUP(A23, Sheet11!A:B,2,false)</f>
        <v>Latvia</v>
      </c>
      <c r="D23" s="23">
        <v>63.5</v>
      </c>
      <c r="E23" s="23">
        <v>15193.71</v>
      </c>
    </row>
    <row r="24">
      <c r="A24" s="23" t="s">
        <v>199</v>
      </c>
      <c r="B24" s="23">
        <v>57.56667</v>
      </c>
      <c r="C24" s="29" t="str">
        <f>VLOOKUP(A24, Sheet11!A:B,2,false)</f>
        <v>Germany</v>
      </c>
      <c r="D24" s="23">
        <v>57.56667</v>
      </c>
      <c r="E24" s="23">
        <v>43572.91</v>
      </c>
    </row>
    <row r="25">
      <c r="A25" s="23" t="s">
        <v>478</v>
      </c>
      <c r="B25" s="23">
        <v>57.475</v>
      </c>
      <c r="C25" s="29" t="str">
        <f>VLOOKUP(A25, Sheet11!A:B,2,false)</f>
        <v>Slovenia</v>
      </c>
      <c r="D25" s="23">
        <v>57.475</v>
      </c>
      <c r="E25" s="23">
        <v>23630.34</v>
      </c>
    </row>
    <row r="26">
      <c r="A26" s="23" t="s">
        <v>187</v>
      </c>
      <c r="B26" s="23">
        <v>53.3</v>
      </c>
      <c r="C26" s="29" t="str">
        <f>VLOOKUP(A26, Sheet11!A:B,2,false)</f>
        <v>France</v>
      </c>
      <c r="D26" s="23">
        <v>53.3</v>
      </c>
      <c r="E26" s="23">
        <v>37958.24</v>
      </c>
    </row>
    <row r="27">
      <c r="A27" s="23" t="s">
        <v>475</v>
      </c>
      <c r="B27" s="23">
        <v>52.725</v>
      </c>
      <c r="C27" s="29" t="str">
        <f>VLOOKUP(A27, Sheet11!A:B,2,false)</f>
        <v>Slovakia</v>
      </c>
      <c r="D27" s="23">
        <v>52.725</v>
      </c>
      <c r="E27" s="23">
        <v>18119.48</v>
      </c>
    </row>
    <row r="28">
      <c r="A28" s="23" t="s">
        <v>109</v>
      </c>
      <c r="B28" s="23">
        <v>51.425</v>
      </c>
      <c r="C28" s="29" t="str">
        <f>VLOOKUP(A28, Sheet11!A:B,2,false)</f>
        <v>Chile</v>
      </c>
      <c r="D28" s="23">
        <v>51.425</v>
      </c>
      <c r="E28" s="23">
        <v>13767.94</v>
      </c>
    </row>
    <row r="29">
      <c r="A29" s="23" t="s">
        <v>205</v>
      </c>
      <c r="B29" s="23">
        <v>50.6</v>
      </c>
      <c r="C29" s="29" t="str">
        <f>VLOOKUP(A29, Sheet11!A:B,2,false)</f>
        <v>Greece</v>
      </c>
      <c r="D29" s="23">
        <v>50.6</v>
      </c>
      <c r="E29" s="23">
        <v>19218.63</v>
      </c>
    </row>
    <row r="30">
      <c r="A30" s="23" t="s">
        <v>493</v>
      </c>
      <c r="B30" s="23">
        <v>50.4</v>
      </c>
      <c r="C30" s="29" t="str">
        <f>VLOOKUP(A30, Sheet11!A:B,2,false)</f>
        <v>Spain</v>
      </c>
      <c r="D30" s="23">
        <v>50.4</v>
      </c>
      <c r="E30" s="23">
        <v>27417.55</v>
      </c>
    </row>
    <row r="31">
      <c r="A31" s="23" t="s">
        <v>394</v>
      </c>
      <c r="B31" s="23">
        <v>48.83036</v>
      </c>
      <c r="C31" s="29" t="str">
        <f>VLOOKUP(A31, Sheet11!A:B,2,false)</f>
        <v>Norway</v>
      </c>
      <c r="D31" s="23">
        <v>48.83036</v>
      </c>
      <c r="E31" s="23">
        <v>77032.42</v>
      </c>
    </row>
    <row r="32">
      <c r="A32" s="23" t="s">
        <v>256</v>
      </c>
      <c r="B32" s="23">
        <v>48.1</v>
      </c>
      <c r="C32" s="29" t="str">
        <f>VLOOKUP(A32, Sheet11!A:B,2,false)</f>
        <v>Italy</v>
      </c>
      <c r="D32" s="23">
        <v>48.1</v>
      </c>
      <c r="E32" s="23">
        <v>32171.72</v>
      </c>
    </row>
    <row r="33">
      <c r="A33" s="23" t="s">
        <v>424</v>
      </c>
      <c r="B33" s="23">
        <v>45.075</v>
      </c>
      <c r="C33" s="29" t="str">
        <f>VLOOKUP(A33, Sheet11!A:B,2,false)</f>
        <v>Portugal</v>
      </c>
      <c r="D33" s="23">
        <v>45.075</v>
      </c>
      <c r="E33" s="23">
        <v>20944.36</v>
      </c>
    </row>
    <row r="34">
      <c r="A34" s="23" t="s">
        <v>193</v>
      </c>
      <c r="B34" s="23">
        <v>38.61111</v>
      </c>
      <c r="C34" s="29" t="str">
        <f>VLOOKUP(A34, Sheet11!A:B,2,false)</f>
        <v>Gambia (the)</v>
      </c>
      <c r="D34" s="23">
        <v>38.61111</v>
      </c>
      <c r="E34" s="23">
        <v>676.995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749</v>
      </c>
      <c r="B1" s="41" t="s">
        <v>754</v>
      </c>
      <c r="C1" s="41" t="s">
        <v>755</v>
      </c>
      <c r="D1" s="23" t="s">
        <v>751</v>
      </c>
      <c r="E1" s="23" t="s">
        <v>750</v>
      </c>
      <c r="F1" s="23" t="s">
        <v>756</v>
      </c>
    </row>
    <row r="2">
      <c r="A2" s="41" t="s">
        <v>19</v>
      </c>
      <c r="B2" s="42">
        <v>34.2</v>
      </c>
      <c r="C2" s="42">
        <v>3151.341706</v>
      </c>
      <c r="D2" s="29" t="str">
        <f>VLOOKUP(A2,Sheet11!A:B,2,false)</f>
        <v>Angola</v>
      </c>
      <c r="E2" s="42">
        <v>34.2</v>
      </c>
      <c r="F2" s="42">
        <v>3151.341706</v>
      </c>
    </row>
    <row r="3">
      <c r="A3" s="41" t="s">
        <v>34</v>
      </c>
      <c r="B3" s="42">
        <v>28.33333333</v>
      </c>
      <c r="C3" s="42">
        <v>45296.54708</v>
      </c>
      <c r="D3" s="29" t="str">
        <f>VLOOKUP(A3,Sheet11!A:B,2,false)</f>
        <v>Austria</v>
      </c>
      <c r="E3" s="42">
        <v>28.33333333</v>
      </c>
      <c r="F3" s="42">
        <v>45296.54708</v>
      </c>
    </row>
    <row r="4">
      <c r="A4" s="41" t="s">
        <v>88</v>
      </c>
      <c r="B4" s="42">
        <v>5.752222222</v>
      </c>
      <c r="C4" s="42">
        <v>263.5168235</v>
      </c>
      <c r="D4" s="29" t="str">
        <f>VLOOKUP(A4,Sheet11!A:B,2,false)</f>
        <v>Burundi</v>
      </c>
      <c r="E4" s="42">
        <v>5.752222222</v>
      </c>
      <c r="F4" s="42">
        <v>263.5168235</v>
      </c>
    </row>
    <row r="5">
      <c r="A5" s="41" t="s">
        <v>55</v>
      </c>
      <c r="B5" s="42">
        <v>38.0</v>
      </c>
      <c r="C5" s="42">
        <v>42522.11697</v>
      </c>
      <c r="D5" s="29" t="str">
        <f>VLOOKUP(A5,Sheet11!A:B,2,false)</f>
        <v>Belgium</v>
      </c>
      <c r="E5" s="42">
        <v>38.0</v>
      </c>
      <c r="F5" s="42">
        <v>42522.11697</v>
      </c>
    </row>
    <row r="6">
      <c r="A6" s="41" t="s">
        <v>61</v>
      </c>
      <c r="B6" s="42">
        <v>4.80625</v>
      </c>
      <c r="C6" s="42">
        <v>1122.855103</v>
      </c>
      <c r="D6" s="29" t="str">
        <f>VLOOKUP(A6,Sheet11!A:B,2,false)</f>
        <v>Benin</v>
      </c>
      <c r="E6" s="42">
        <v>4.80625</v>
      </c>
      <c r="F6" s="42">
        <v>1122.855103</v>
      </c>
    </row>
    <row r="7">
      <c r="A7" s="41" t="s">
        <v>85</v>
      </c>
      <c r="B7" s="42">
        <v>12.86666667</v>
      </c>
      <c r="C7" s="42">
        <v>699.3429967</v>
      </c>
      <c r="D7" s="29" t="str">
        <f>VLOOKUP(A7,Sheet11!A:B,2,false)</f>
        <v>Burkina Faso</v>
      </c>
      <c r="E7" s="42">
        <v>12.86666667</v>
      </c>
      <c r="F7" s="42">
        <v>699.3429967</v>
      </c>
    </row>
    <row r="8">
      <c r="A8" s="41" t="s">
        <v>82</v>
      </c>
      <c r="B8" s="42">
        <v>1.855</v>
      </c>
      <c r="C8" s="42">
        <v>8511.725825</v>
      </c>
      <c r="D8" s="29" t="str">
        <f>VLOOKUP(A8,Sheet11!A:B,2,false)</f>
        <v>Bulgaria</v>
      </c>
      <c r="E8" s="42">
        <v>1.855</v>
      </c>
      <c r="F8" s="42">
        <v>8511.725825</v>
      </c>
    </row>
    <row r="9">
      <c r="A9" s="41" t="s">
        <v>52</v>
      </c>
      <c r="B9" s="42">
        <v>1.19375</v>
      </c>
      <c r="C9" s="42">
        <v>6235.997651</v>
      </c>
      <c r="D9" s="29" t="str">
        <f>VLOOKUP(A9,Sheet11!A:B,2,false)</f>
        <v>Belarus</v>
      </c>
      <c r="E9" s="42">
        <v>1.19375</v>
      </c>
      <c r="F9" s="42">
        <v>6235.997651</v>
      </c>
    </row>
    <row r="10">
      <c r="A10" s="41" t="s">
        <v>58</v>
      </c>
      <c r="B10" s="42">
        <v>19.1</v>
      </c>
      <c r="C10" s="42">
        <v>5926.121948</v>
      </c>
      <c r="D10" s="29" t="str">
        <f>VLOOKUP(A10,Sheet11!A:B,2,false)</f>
        <v>Belize</v>
      </c>
      <c r="E10" s="42">
        <v>19.1</v>
      </c>
      <c r="F10" s="42">
        <v>5926.121948</v>
      </c>
    </row>
    <row r="11">
      <c r="A11" s="41" t="s">
        <v>67</v>
      </c>
      <c r="B11" s="42">
        <v>3.269349817</v>
      </c>
      <c r="C11" s="42">
        <v>3052.713101</v>
      </c>
      <c r="D11" s="29" t="str">
        <f>VLOOKUP(A11,Sheet11!A:B,2,false)</f>
        <v>Bolivia (Plurinational State of)</v>
      </c>
      <c r="E11" s="42">
        <v>3.269349817</v>
      </c>
      <c r="F11" s="42">
        <v>3052.713101</v>
      </c>
    </row>
    <row r="12">
      <c r="A12" s="41" t="s">
        <v>73</v>
      </c>
      <c r="B12" s="42">
        <v>20.66666667</v>
      </c>
      <c r="C12" s="42">
        <v>6741.222279</v>
      </c>
      <c r="D12" s="29" t="str">
        <f>VLOOKUP(A12,Sheet11!A:B,2,false)</f>
        <v>Botswana</v>
      </c>
      <c r="E12" s="42">
        <v>20.66666667</v>
      </c>
      <c r="F12" s="42">
        <v>6741.222279</v>
      </c>
    </row>
    <row r="13">
      <c r="A13" s="41" t="s">
        <v>103</v>
      </c>
      <c r="B13" s="42">
        <v>11.81875</v>
      </c>
      <c r="C13" s="42">
        <v>387.2838955</v>
      </c>
      <c r="D13" s="29" t="str">
        <f>VLOOKUP(A13,Sheet11!A:B,2,false)</f>
        <v>Central African Republic (the)</v>
      </c>
      <c r="E13" s="42">
        <v>11.81875</v>
      </c>
      <c r="F13" s="42">
        <v>387.2838955</v>
      </c>
    </row>
    <row r="14">
      <c r="A14" s="41" t="s">
        <v>100</v>
      </c>
      <c r="B14" s="42">
        <v>5.26375</v>
      </c>
      <c r="C14" s="42">
        <v>44298.22611</v>
      </c>
      <c r="D14" s="29" t="str">
        <f>VLOOKUP(A14,Sheet11!A:B,2,false)</f>
        <v>Canada</v>
      </c>
      <c r="E14" s="42">
        <v>5.26375</v>
      </c>
      <c r="F14" s="42">
        <v>44298.22611</v>
      </c>
    </row>
    <row r="15">
      <c r="A15" s="41" t="s">
        <v>511</v>
      </c>
      <c r="B15" s="42">
        <v>18.76787879</v>
      </c>
      <c r="C15" s="42">
        <v>86791.62876</v>
      </c>
      <c r="D15" s="29" t="str">
        <f>VLOOKUP(A15,Sheet11!A:B,2,false)</f>
        <v>Switzerland</v>
      </c>
      <c r="E15" s="42">
        <v>18.76787879</v>
      </c>
      <c r="F15" s="42">
        <v>86791.62876</v>
      </c>
    </row>
    <row r="16">
      <c r="A16" s="41" t="s">
        <v>109</v>
      </c>
      <c r="B16" s="42">
        <v>12.66666667</v>
      </c>
      <c r="C16" s="42">
        <v>13724.11912</v>
      </c>
      <c r="D16" s="29" t="str">
        <f>VLOOKUP(A16,Sheet11!A:B,2,false)</f>
        <v>Chile</v>
      </c>
      <c r="E16" s="42">
        <v>12.66666667</v>
      </c>
      <c r="F16" s="42">
        <v>13724.11912</v>
      </c>
    </row>
    <row r="17">
      <c r="A17" s="41" t="s">
        <v>130</v>
      </c>
      <c r="B17" s="42">
        <v>24.35</v>
      </c>
      <c r="C17" s="42">
        <v>2060.498964</v>
      </c>
      <c r="D17" s="29" t="str">
        <f>VLOOKUP(A17,Sheet11!A:B,2,false)</f>
        <v>Côte d'Ivoire</v>
      </c>
      <c r="E17" s="42">
        <v>24.35</v>
      </c>
      <c r="F17" s="42">
        <v>2060.498964</v>
      </c>
    </row>
    <row r="18">
      <c r="A18" s="41" t="s">
        <v>97</v>
      </c>
      <c r="B18" s="42">
        <v>60.1</v>
      </c>
      <c r="C18" s="42">
        <v>1444.940769</v>
      </c>
      <c r="D18" s="29" t="str">
        <f>VLOOKUP(A18,Sheet11!A:B,2,false)</f>
        <v>Cameroon</v>
      </c>
      <c r="E18" s="42">
        <v>60.1</v>
      </c>
      <c r="F18" s="42">
        <v>1444.940769</v>
      </c>
    </row>
    <row r="19">
      <c r="A19" s="41" t="s">
        <v>124</v>
      </c>
      <c r="B19" s="42">
        <v>8.5875</v>
      </c>
      <c r="C19" s="42">
        <v>498.3671866</v>
      </c>
      <c r="D19" s="29" t="str">
        <f>VLOOKUP(A19,Sheet11!A:B,2,false)</f>
        <v>Congo (the Democratic Republic of the)</v>
      </c>
      <c r="E19" s="42">
        <v>8.5875</v>
      </c>
      <c r="F19" s="42">
        <v>498.3671866</v>
      </c>
    </row>
    <row r="20">
      <c r="A20" s="41" t="s">
        <v>115</v>
      </c>
      <c r="B20" s="42">
        <v>5.754166667</v>
      </c>
      <c r="C20" s="42">
        <v>6426.150583</v>
      </c>
      <c r="D20" s="29" t="str">
        <f>VLOOKUP(A20,Sheet11!A:B,2,false)</f>
        <v>Colombia</v>
      </c>
      <c r="E20" s="42">
        <v>5.754166667</v>
      </c>
      <c r="F20" s="42">
        <v>6426.150583</v>
      </c>
    </row>
    <row r="21">
      <c r="A21" s="41" t="s">
        <v>118</v>
      </c>
      <c r="B21" s="42">
        <v>7.29375</v>
      </c>
      <c r="C21" s="42">
        <v>1367.289989</v>
      </c>
      <c r="D21" s="29" t="str">
        <f>VLOOKUP(A21,Sheet11!A:B,2,false)</f>
        <v>Comoros (the)</v>
      </c>
      <c r="E21" s="42">
        <v>7.29375</v>
      </c>
      <c r="F21" s="42">
        <v>1367.289989</v>
      </c>
    </row>
    <row r="22">
      <c r="A22" s="41" t="s">
        <v>91</v>
      </c>
      <c r="B22" s="42">
        <v>3.91</v>
      </c>
      <c r="C22" s="42">
        <v>3762.849378</v>
      </c>
      <c r="D22" s="29" t="str">
        <f>VLOOKUP(A22,Sheet11!A:B,2,false)</f>
        <v>Cabo Verde</v>
      </c>
      <c r="E22" s="42">
        <v>3.91</v>
      </c>
      <c r="F22" s="42">
        <v>3762.849378</v>
      </c>
    </row>
    <row r="23">
      <c r="A23" s="41" t="s">
        <v>136</v>
      </c>
      <c r="B23" s="42">
        <v>0.73125</v>
      </c>
      <c r="C23" s="42">
        <v>7642.311254</v>
      </c>
      <c r="D23" s="29" t="str">
        <f>VLOOKUP(A23,Sheet11!A:B,2,false)</f>
        <v>Cuba</v>
      </c>
      <c r="E23" s="42">
        <v>0.73125</v>
      </c>
      <c r="F23" s="42">
        <v>7642.311254</v>
      </c>
    </row>
    <row r="24">
      <c r="A24" s="41" t="s">
        <v>139</v>
      </c>
      <c r="B24" s="42">
        <v>18.33333333</v>
      </c>
      <c r="C24" s="42">
        <v>19400.35768</v>
      </c>
      <c r="D24" s="29" t="str">
        <f>VLOOKUP(A24,Sheet11!A:B,2,false)</f>
        <v>Cyprus</v>
      </c>
      <c r="E24" s="42">
        <v>18.33333333</v>
      </c>
      <c r="F24" s="42">
        <v>19400.35768</v>
      </c>
    </row>
    <row r="25">
      <c r="A25" s="41" t="s">
        <v>142</v>
      </c>
      <c r="B25" s="42">
        <v>20.66666667</v>
      </c>
      <c r="C25" s="43"/>
      <c r="D25" s="29" t="str">
        <f>VLOOKUP(A25,Sheet11!A:B,2,false)</f>
        <v>Czechia</v>
      </c>
      <c r="E25" s="42">
        <v>20.66666667</v>
      </c>
      <c r="F25" s="43"/>
    </row>
    <row r="26">
      <c r="A26" s="41" t="s">
        <v>199</v>
      </c>
      <c r="B26" s="42">
        <v>10.2567619</v>
      </c>
      <c r="C26" s="42">
        <v>43393.77594</v>
      </c>
      <c r="D26" s="29" t="str">
        <f>VLOOKUP(A26,Sheet11!A:B,2,false)</f>
        <v>Germany</v>
      </c>
      <c r="E26" s="42">
        <v>10.2567619</v>
      </c>
      <c r="F26" s="42">
        <v>43393.77594</v>
      </c>
    </row>
    <row r="27">
      <c r="A27" s="41" t="s">
        <v>145</v>
      </c>
      <c r="B27" s="42">
        <v>19.0</v>
      </c>
      <c r="C27" s="42">
        <v>56635.3867</v>
      </c>
      <c r="D27" s="29" t="str">
        <f>VLOOKUP(A27,Sheet11!A:B,2,false)</f>
        <v>Denmark</v>
      </c>
      <c r="E27" s="42">
        <v>19.0</v>
      </c>
      <c r="F27" s="42">
        <v>56635.3867</v>
      </c>
    </row>
    <row r="28">
      <c r="A28" s="41" t="s">
        <v>493</v>
      </c>
      <c r="B28" s="42">
        <v>1.046125</v>
      </c>
      <c r="C28" s="42">
        <v>27193.0294</v>
      </c>
      <c r="D28" s="29" t="str">
        <f>VLOOKUP(A28,Sheet11!A:B,2,false)</f>
        <v>Spain</v>
      </c>
      <c r="E28" s="42">
        <v>1.046125</v>
      </c>
      <c r="F28" s="42">
        <v>27193.0294</v>
      </c>
    </row>
    <row r="29">
      <c r="A29" s="41" t="s">
        <v>172</v>
      </c>
      <c r="B29" s="42">
        <v>21.66666667</v>
      </c>
      <c r="C29" s="42">
        <v>19628.299</v>
      </c>
      <c r="D29" s="29" t="str">
        <f>VLOOKUP(A29,Sheet11!A:B,2,false)</f>
        <v>Estonia</v>
      </c>
      <c r="E29" s="42">
        <v>21.66666667</v>
      </c>
      <c r="F29" s="42">
        <v>19628.299</v>
      </c>
    </row>
    <row r="30">
      <c r="A30" s="41" t="s">
        <v>178</v>
      </c>
      <c r="B30" s="42">
        <v>25.56666667</v>
      </c>
      <c r="C30" s="42">
        <v>728.8375195</v>
      </c>
      <c r="D30" s="29" t="str">
        <f>VLOOKUP(A30,Sheet11!A:B,2,false)</f>
        <v>Ethiopia</v>
      </c>
      <c r="E30" s="42">
        <v>25.56666667</v>
      </c>
      <c r="F30" s="42">
        <v>728.8375195</v>
      </c>
    </row>
    <row r="31">
      <c r="A31" s="41" t="s">
        <v>184</v>
      </c>
      <c r="B31" s="42">
        <v>17.66666667</v>
      </c>
      <c r="C31" s="42">
        <v>44709.16203</v>
      </c>
      <c r="D31" s="29" t="str">
        <f>VLOOKUP(A31,Sheet11!A:B,2,false)</f>
        <v>Finland</v>
      </c>
      <c r="E31" s="42">
        <v>17.66666667</v>
      </c>
      <c r="F31" s="42">
        <v>44709.16203</v>
      </c>
    </row>
    <row r="32">
      <c r="A32" s="41" t="s">
        <v>181</v>
      </c>
      <c r="B32" s="42">
        <v>6.275</v>
      </c>
      <c r="C32" s="42">
        <v>5303.489206</v>
      </c>
      <c r="D32" s="29" t="str">
        <f>VLOOKUP(A32,Sheet11!A:B,2,false)</f>
        <v>Fiji</v>
      </c>
      <c r="E32" s="42">
        <v>6.275</v>
      </c>
      <c r="F32" s="42">
        <v>5303.489206</v>
      </c>
    </row>
    <row r="33">
      <c r="A33" s="41" t="s">
        <v>187</v>
      </c>
      <c r="B33" s="42">
        <v>20.05</v>
      </c>
      <c r="C33" s="42">
        <v>37820.61937</v>
      </c>
      <c r="D33" s="29" t="str">
        <f>VLOOKUP(A33,Sheet11!A:B,2,false)</f>
        <v>France</v>
      </c>
      <c r="E33" s="42">
        <v>20.05</v>
      </c>
      <c r="F33" s="42">
        <v>37820.61937</v>
      </c>
    </row>
    <row r="34">
      <c r="A34" s="41" t="s">
        <v>562</v>
      </c>
      <c r="B34" s="42">
        <v>20.14285714</v>
      </c>
      <c r="C34" s="42">
        <v>46542.4965</v>
      </c>
      <c r="D34" s="29" t="str">
        <f>VLOOKUP(A34,Sheet11!A:B,2,false)</f>
        <v>United Kingdom of Great Britain and Northern Ireland (the)</v>
      </c>
      <c r="E34" s="42">
        <v>20.14285714</v>
      </c>
      <c r="F34" s="42">
        <v>46542.4965</v>
      </c>
    </row>
    <row r="35">
      <c r="A35" s="41" t="s">
        <v>196</v>
      </c>
      <c r="B35" s="42">
        <v>1.6375</v>
      </c>
      <c r="C35" s="42">
        <v>4996.713105</v>
      </c>
      <c r="D35" s="29" t="str">
        <f>VLOOKUP(A35,Sheet11!A:B,2,false)</f>
        <v>Georgia</v>
      </c>
      <c r="E35" s="42">
        <v>1.6375</v>
      </c>
      <c r="F35" s="42">
        <v>4996.713105</v>
      </c>
    </row>
    <row r="36">
      <c r="A36" s="41" t="s">
        <v>202</v>
      </c>
      <c r="B36" s="42">
        <v>24.53333333</v>
      </c>
      <c r="C36" s="42">
        <v>1933.945316</v>
      </c>
      <c r="D36" s="29" t="str">
        <f>VLOOKUP(A36,Sheet11!A:B,2,false)</f>
        <v>Ghana</v>
      </c>
      <c r="E36" s="42">
        <v>24.53333333</v>
      </c>
      <c r="F36" s="42">
        <v>1933.945316</v>
      </c>
    </row>
    <row r="37">
      <c r="A37" s="41" t="s">
        <v>214</v>
      </c>
      <c r="B37" s="42">
        <v>10.4</v>
      </c>
      <c r="C37" s="42">
        <v>905.1478209</v>
      </c>
      <c r="D37" s="29" t="str">
        <f>VLOOKUP(A37,Sheet11!A:B,2,false)</f>
        <v>Guinea</v>
      </c>
      <c r="E37" s="42">
        <v>10.4</v>
      </c>
      <c r="F37" s="42">
        <v>905.1478209</v>
      </c>
    </row>
    <row r="38">
      <c r="A38" s="41" t="s">
        <v>193</v>
      </c>
      <c r="B38" s="42">
        <v>23.6</v>
      </c>
      <c r="C38" s="42">
        <v>671.0753738</v>
      </c>
      <c r="D38" s="29" t="str">
        <f>VLOOKUP(A38,Sheet11!A:B,2,false)</f>
        <v>Gambia (the)</v>
      </c>
      <c r="E38" s="42">
        <v>23.6</v>
      </c>
      <c r="F38" s="42">
        <v>671.0753738</v>
      </c>
    </row>
    <row r="39">
      <c r="A39" s="41" t="s">
        <v>205</v>
      </c>
      <c r="B39" s="42">
        <v>13.0</v>
      </c>
      <c r="C39" s="42">
        <v>19099.07089</v>
      </c>
      <c r="D39" s="29" t="str">
        <f>VLOOKUP(A39,Sheet11!A:B,2,false)</f>
        <v>Greece</v>
      </c>
      <c r="E39" s="42">
        <v>13.0</v>
      </c>
      <c r="F39" s="42">
        <v>19099.07089</v>
      </c>
    </row>
    <row r="40">
      <c r="A40" s="41" t="s">
        <v>220</v>
      </c>
      <c r="B40" s="42">
        <v>4.5625</v>
      </c>
      <c r="C40" s="42">
        <v>11697.79285</v>
      </c>
      <c r="D40" s="29" t="str">
        <f>VLOOKUP(A40,Sheet11!A:B,2,false)</f>
        <v>Guyana</v>
      </c>
      <c r="E40" s="42">
        <v>4.5625</v>
      </c>
      <c r="F40" s="42">
        <v>11697.79285</v>
      </c>
    </row>
    <row r="41">
      <c r="A41" s="41" t="s">
        <v>229</v>
      </c>
      <c r="B41" s="42">
        <v>3.225</v>
      </c>
      <c r="C41" s="42">
        <v>2388.488443</v>
      </c>
      <c r="D41" s="29" t="str">
        <f>VLOOKUP(A41,Sheet11!A:B,2,false)</f>
        <v>Honduras</v>
      </c>
      <c r="E41" s="42">
        <v>3.225</v>
      </c>
      <c r="F41" s="42">
        <v>2388.488443</v>
      </c>
    </row>
    <row r="42">
      <c r="A42" s="41" t="s">
        <v>133</v>
      </c>
      <c r="B42" s="42">
        <v>21.0</v>
      </c>
      <c r="C42" s="42">
        <v>14529.18263</v>
      </c>
      <c r="D42" s="29" t="str">
        <f>VLOOKUP(A42,Sheet11!A:B,2,false)</f>
        <v>Croatia</v>
      </c>
      <c r="E42" s="42">
        <v>21.0</v>
      </c>
      <c r="F42" s="42">
        <v>14529.18263</v>
      </c>
    </row>
    <row r="43">
      <c r="A43" s="41" t="s">
        <v>232</v>
      </c>
      <c r="B43" s="42">
        <v>18.33333333</v>
      </c>
      <c r="C43" s="42">
        <v>14691.68524</v>
      </c>
      <c r="D43" s="29" t="str">
        <f>VLOOKUP(A43,Sheet11!A:B,2,false)</f>
        <v>Hungary</v>
      </c>
      <c r="E43" s="42">
        <v>18.33333333</v>
      </c>
      <c r="F43" s="42">
        <v>14691.68524</v>
      </c>
    </row>
    <row r="44">
      <c r="A44" s="41" t="s">
        <v>250</v>
      </c>
      <c r="B44" s="42">
        <v>16.45972222</v>
      </c>
      <c r="C44" s="42">
        <v>78207.60992</v>
      </c>
      <c r="D44" s="29" t="str">
        <f>VLOOKUP(A44,Sheet11!A:B,2,false)</f>
        <v>Ireland</v>
      </c>
      <c r="E44" s="42">
        <v>16.45972222</v>
      </c>
      <c r="F44" s="42">
        <v>78207.60992</v>
      </c>
    </row>
    <row r="45">
      <c r="A45" s="41" t="s">
        <v>253</v>
      </c>
      <c r="B45" s="42">
        <v>8.519201108</v>
      </c>
      <c r="C45" s="42">
        <v>39149.98077</v>
      </c>
      <c r="D45" s="29" t="str">
        <f>VLOOKUP(A45,Sheet11!A:B,2,false)</f>
        <v>Israel</v>
      </c>
      <c r="E45" s="42">
        <v>8.519201108</v>
      </c>
      <c r="F45" s="42">
        <v>39149.98077</v>
      </c>
    </row>
    <row r="46">
      <c r="A46" s="41" t="s">
        <v>256</v>
      </c>
      <c r="B46" s="42">
        <v>18.0</v>
      </c>
      <c r="C46" s="42">
        <v>32003.84089</v>
      </c>
      <c r="D46" s="29" t="str">
        <f>VLOOKUP(A46,Sheet11!A:B,2,false)</f>
        <v>Italy</v>
      </c>
      <c r="E46" s="42">
        <v>18.0</v>
      </c>
      <c r="F46" s="42">
        <v>32003.84089</v>
      </c>
    </row>
    <row r="47">
      <c r="A47" s="41" t="s">
        <v>271</v>
      </c>
      <c r="B47" s="42">
        <v>29.66666667</v>
      </c>
      <c r="C47" s="42">
        <v>1633.584551</v>
      </c>
      <c r="D47" s="29" t="str">
        <f>VLOOKUP(A47,Sheet11!A:B,2,false)</f>
        <v>Kenya</v>
      </c>
      <c r="E47" s="42">
        <v>29.66666667</v>
      </c>
      <c r="F47" s="42">
        <v>1633.584551</v>
      </c>
    </row>
    <row r="48">
      <c r="A48" s="41" t="s">
        <v>274</v>
      </c>
      <c r="B48" s="42">
        <v>11.8</v>
      </c>
      <c r="C48" s="42">
        <v>1809.301892</v>
      </c>
      <c r="D48" s="29" t="str">
        <f>VLOOKUP(A48,Sheet11!A:B,2,false)</f>
        <v>Kiribati</v>
      </c>
      <c r="E48" s="42">
        <v>11.8</v>
      </c>
      <c r="F48" s="42">
        <v>1809.301892</v>
      </c>
    </row>
    <row r="49">
      <c r="A49" s="41" t="s">
        <v>280</v>
      </c>
      <c r="B49" s="42">
        <v>5.85</v>
      </c>
      <c r="C49" s="42">
        <v>33290.08978</v>
      </c>
      <c r="D49" s="29" t="str">
        <f>VLOOKUP(A49,Sheet11!A:B,2,false)</f>
        <v>Korea (the Republic of)</v>
      </c>
      <c r="E49" s="42">
        <v>5.85</v>
      </c>
      <c r="F49" s="42">
        <v>33290.08978</v>
      </c>
    </row>
    <row r="50">
      <c r="A50" s="41" t="s">
        <v>301</v>
      </c>
      <c r="B50" s="42">
        <v>30.86666667</v>
      </c>
      <c r="C50" s="42">
        <v>656.8185621</v>
      </c>
      <c r="D50" s="29" t="str">
        <f>VLOOKUP(A50,Sheet11!A:B,2,false)</f>
        <v>Liberia</v>
      </c>
      <c r="E50" s="42">
        <v>30.86666667</v>
      </c>
      <c r="F50" s="42">
        <v>656.8185621</v>
      </c>
    </row>
    <row r="51">
      <c r="A51" s="41" t="s">
        <v>298</v>
      </c>
      <c r="B51" s="42">
        <v>6.625</v>
      </c>
      <c r="C51" s="42">
        <v>1037.192958</v>
      </c>
      <c r="D51" s="29" t="str">
        <f>VLOOKUP(A51,Sheet11!A:B,2,false)</f>
        <v>Lesotho</v>
      </c>
      <c r="E51" s="42">
        <v>6.625</v>
      </c>
      <c r="F51" s="42">
        <v>1037.192958</v>
      </c>
    </row>
    <row r="52">
      <c r="A52" s="41" t="s">
        <v>307</v>
      </c>
      <c r="B52" s="42">
        <v>15.33333333</v>
      </c>
      <c r="C52" s="42">
        <v>16841.34544</v>
      </c>
      <c r="D52" s="29" t="str">
        <f>VLOOKUP(A52,Sheet11!A:B,2,false)</f>
        <v>Lithuania</v>
      </c>
      <c r="E52" s="42">
        <v>15.33333333</v>
      </c>
      <c r="F52" s="42">
        <v>16841.34544</v>
      </c>
    </row>
    <row r="53">
      <c r="A53" s="41" t="s">
        <v>310</v>
      </c>
      <c r="B53" s="42">
        <v>26.33333333</v>
      </c>
      <c r="C53" s="42">
        <v>106736.8042</v>
      </c>
      <c r="D53" s="29" t="str">
        <f>VLOOKUP(A53,Sheet11!A:B,2,false)</f>
        <v>Luxembourg</v>
      </c>
      <c r="E53" s="42">
        <v>26.33333333</v>
      </c>
      <c r="F53" s="42">
        <v>106736.8042</v>
      </c>
    </row>
    <row r="54">
      <c r="A54" s="41" t="s">
        <v>292</v>
      </c>
      <c r="B54" s="42">
        <v>16.33333333</v>
      </c>
      <c r="C54" s="42">
        <v>14969.88516</v>
      </c>
      <c r="D54" s="29" t="str">
        <f>VLOOKUP(A54,Sheet11!A:B,2,false)</f>
        <v>Latvia</v>
      </c>
      <c r="E54" s="42">
        <v>16.33333333</v>
      </c>
      <c r="F54" s="42">
        <v>14969.88516</v>
      </c>
    </row>
    <row r="55">
      <c r="A55" s="41" t="s">
        <v>358</v>
      </c>
      <c r="B55" s="42">
        <v>17.86666667</v>
      </c>
      <c r="C55" s="42">
        <v>3312.47841</v>
      </c>
      <c r="D55" s="29" t="str">
        <f>VLOOKUP(A55,Sheet11!A:B,2,false)</f>
        <v>Morocco</v>
      </c>
      <c r="E55" s="42">
        <v>17.86666667</v>
      </c>
      <c r="F55" s="42">
        <v>3312.47841</v>
      </c>
    </row>
    <row r="56">
      <c r="A56" s="41" t="s">
        <v>346</v>
      </c>
      <c r="B56" s="42">
        <v>16.7875</v>
      </c>
      <c r="C56" s="42">
        <v>3299.233248</v>
      </c>
      <c r="D56" s="29" t="str">
        <f>VLOOKUP(A56,Sheet11!A:B,2,false)</f>
        <v>Moldova (the Republic of)</v>
      </c>
      <c r="E56" s="42">
        <v>16.7875</v>
      </c>
      <c r="F56" s="42">
        <v>3299.233248</v>
      </c>
    </row>
    <row r="57">
      <c r="A57" s="41" t="s">
        <v>313</v>
      </c>
      <c r="B57" s="42">
        <v>11.4</v>
      </c>
      <c r="C57" s="42">
        <v>446.8670378</v>
      </c>
      <c r="D57" s="29" t="str">
        <f>VLOOKUP(A57,Sheet11!A:B,2,false)</f>
        <v>Madagascar</v>
      </c>
      <c r="E57" s="42">
        <v>11.4</v>
      </c>
      <c r="F57" s="42">
        <v>446.8670378</v>
      </c>
    </row>
    <row r="58">
      <c r="A58" s="41" t="s">
        <v>340</v>
      </c>
      <c r="B58" s="42">
        <v>6.527083333</v>
      </c>
      <c r="C58" s="42">
        <v>10016.89953</v>
      </c>
      <c r="D58" s="29" t="str">
        <f>VLOOKUP(A58,Sheet11!A:B,2,false)</f>
        <v>Mexico</v>
      </c>
      <c r="E58" s="42">
        <v>6.527083333</v>
      </c>
      <c r="F58" s="42">
        <v>10016.89953</v>
      </c>
    </row>
    <row r="59">
      <c r="A59" s="41" t="s">
        <v>325</v>
      </c>
      <c r="B59" s="42">
        <v>12.7</v>
      </c>
      <c r="C59" s="42">
        <v>874.435941</v>
      </c>
      <c r="D59" s="29" t="str">
        <f>VLOOKUP(A59,Sheet11!A:B,2,false)</f>
        <v>Mali</v>
      </c>
      <c r="E59" s="42">
        <v>12.7</v>
      </c>
      <c r="F59" s="42">
        <v>874.435941</v>
      </c>
    </row>
    <row r="60">
      <c r="A60" s="41" t="s">
        <v>328</v>
      </c>
      <c r="B60" s="42">
        <v>14.66666667</v>
      </c>
      <c r="C60" s="42">
        <v>29252.58704</v>
      </c>
      <c r="D60" s="29" t="str">
        <f>VLOOKUP(A60,Sheet11!A:B,2,false)</f>
        <v>Malta</v>
      </c>
      <c r="E60" s="42">
        <v>14.66666667</v>
      </c>
      <c r="F60" s="42">
        <v>29252.58704</v>
      </c>
    </row>
    <row r="61">
      <c r="A61" s="41" t="s">
        <v>364</v>
      </c>
      <c r="B61" s="42">
        <v>17.8</v>
      </c>
      <c r="C61" s="42">
        <v>1230.345513</v>
      </c>
      <c r="D61" s="29" t="str">
        <f>VLOOKUP(A61,Sheet11!A:B,2,false)</f>
        <v>Myanmar</v>
      </c>
      <c r="E61" s="42">
        <v>17.8</v>
      </c>
      <c r="F61" s="42">
        <v>1230.345513</v>
      </c>
    </row>
    <row r="62">
      <c r="A62" s="41" t="s">
        <v>355</v>
      </c>
      <c r="B62" s="42">
        <v>1.7875</v>
      </c>
      <c r="C62" s="42">
        <v>7176.368855</v>
      </c>
      <c r="D62" s="29" t="str">
        <f>VLOOKUP(A62,Sheet11!A:B,2,false)</f>
        <v>Montenegro</v>
      </c>
      <c r="E62" s="42">
        <v>1.7875</v>
      </c>
      <c r="F62" s="42">
        <v>7176.368855</v>
      </c>
    </row>
    <row r="63">
      <c r="A63" s="41" t="s">
        <v>352</v>
      </c>
      <c r="B63" s="42">
        <v>15.05</v>
      </c>
      <c r="C63" s="42">
        <v>4125.805987</v>
      </c>
      <c r="D63" s="29" t="str">
        <f>VLOOKUP(A63,Sheet11!A:B,2,false)</f>
        <v>Mongolia</v>
      </c>
      <c r="E63" s="42">
        <v>15.05</v>
      </c>
      <c r="F63" s="42">
        <v>4125.805987</v>
      </c>
    </row>
    <row r="64">
      <c r="A64" s="41" t="s">
        <v>361</v>
      </c>
      <c r="B64" s="42">
        <v>32.73333333</v>
      </c>
      <c r="C64" s="42">
        <v>605.9470671</v>
      </c>
      <c r="D64" s="29" t="str">
        <f>VLOOKUP(A64,Sheet11!A:B,2,false)</f>
        <v>Mozambique</v>
      </c>
      <c r="E64" s="42">
        <v>32.73333333</v>
      </c>
      <c r="F64" s="42">
        <v>605.9470671</v>
      </c>
    </row>
    <row r="65">
      <c r="A65" s="41" t="s">
        <v>337</v>
      </c>
      <c r="B65" s="42">
        <v>30.63333333</v>
      </c>
      <c r="C65" s="42">
        <v>10404.88607</v>
      </c>
      <c r="D65" s="29" t="str">
        <f>VLOOKUP(A65,Sheet11!A:B,2,false)</f>
        <v>Mauritius</v>
      </c>
      <c r="E65" s="42">
        <v>30.63333333</v>
      </c>
      <c r="F65" s="42">
        <v>10404.88607</v>
      </c>
    </row>
    <row r="66">
      <c r="A66" s="41" t="s">
        <v>316</v>
      </c>
      <c r="B66" s="42">
        <v>8.73125</v>
      </c>
      <c r="C66" s="42">
        <v>553.1472092</v>
      </c>
      <c r="D66" s="29" t="str">
        <f>VLOOKUP(A66,Sheet11!A:B,2,false)</f>
        <v>Malawi</v>
      </c>
      <c r="E66" s="42">
        <v>8.73125</v>
      </c>
      <c r="F66" s="42">
        <v>553.1472092</v>
      </c>
    </row>
    <row r="67">
      <c r="A67" s="41" t="s">
        <v>367</v>
      </c>
      <c r="B67" s="42">
        <v>34.7</v>
      </c>
      <c r="C67" s="42">
        <v>4250.925328</v>
      </c>
      <c r="D67" s="29" t="str">
        <f>VLOOKUP(A67,Sheet11!A:B,2,false)</f>
        <v>Namibia</v>
      </c>
      <c r="E67" s="42">
        <v>34.7</v>
      </c>
      <c r="F67" s="42">
        <v>4250.925328</v>
      </c>
    </row>
    <row r="68">
      <c r="A68" s="41" t="s">
        <v>385</v>
      </c>
      <c r="B68" s="42">
        <v>17.33333333</v>
      </c>
      <c r="C68" s="42">
        <v>526.6139501</v>
      </c>
      <c r="D68" s="29" t="str">
        <f>VLOOKUP(A68,Sheet11!A:B,2,false)</f>
        <v>Niger (the)</v>
      </c>
      <c r="E68" s="42">
        <v>17.33333333</v>
      </c>
      <c r="F68" s="42">
        <v>526.6139501</v>
      </c>
    </row>
    <row r="69">
      <c r="A69" s="41" t="s">
        <v>388</v>
      </c>
      <c r="B69" s="42">
        <v>8.325</v>
      </c>
      <c r="C69" s="42">
        <v>2386.490874</v>
      </c>
      <c r="D69" s="29" t="str">
        <f>VLOOKUP(A69,Sheet11!A:B,2,false)</f>
        <v>Nigeria</v>
      </c>
      <c r="E69" s="42">
        <v>8.325</v>
      </c>
      <c r="F69" s="42">
        <v>2386.490874</v>
      </c>
    </row>
    <row r="70">
      <c r="A70" s="41" t="s">
        <v>376</v>
      </c>
      <c r="B70" s="42">
        <v>2.512121212</v>
      </c>
      <c r="C70" s="42">
        <v>48514.75784</v>
      </c>
      <c r="D70" s="29" t="str">
        <f>VLOOKUP(A70,Sheet11!A:B,2,false)</f>
        <v>Netherlands (the)</v>
      </c>
      <c r="E70" s="42">
        <v>2.512121212</v>
      </c>
      <c r="F70" s="42">
        <v>48514.75784</v>
      </c>
    </row>
    <row r="71">
      <c r="A71" s="41" t="s">
        <v>394</v>
      </c>
      <c r="B71" s="42">
        <v>6.1</v>
      </c>
      <c r="C71" s="42">
        <v>76773.13529</v>
      </c>
      <c r="D71" s="29" t="str">
        <f>VLOOKUP(A71,Sheet11!A:B,2,false)</f>
        <v>Norway</v>
      </c>
      <c r="E71" s="42">
        <v>6.1</v>
      </c>
      <c r="F71" s="42">
        <v>76773.13529</v>
      </c>
    </row>
    <row r="72">
      <c r="A72" s="41" t="s">
        <v>370</v>
      </c>
      <c r="B72" s="42">
        <v>1.3753475</v>
      </c>
      <c r="C72" s="42">
        <v>7920.741537</v>
      </c>
      <c r="D72" s="29" t="str">
        <f>VLOOKUP(A72,Sheet11!A:B,2,false)</f>
        <v>Nauru</v>
      </c>
      <c r="E72" s="42">
        <v>1.3753475</v>
      </c>
      <c r="F72" s="42">
        <v>7920.741537</v>
      </c>
    </row>
    <row r="73">
      <c r="A73" s="41" t="s">
        <v>379</v>
      </c>
      <c r="B73" s="42">
        <v>5.177777778</v>
      </c>
      <c r="C73" s="42">
        <v>40545.57935</v>
      </c>
      <c r="D73" s="29" t="str">
        <f>VLOOKUP(A73,Sheet11!A:B,2,false)</f>
        <v>New Zealand</v>
      </c>
      <c r="E73" s="42">
        <v>5.177777778</v>
      </c>
      <c r="F73" s="42">
        <v>40545.57935</v>
      </c>
    </row>
    <row r="74">
      <c r="A74" s="41" t="s">
        <v>400</v>
      </c>
      <c r="B74" s="42">
        <v>4.34628125</v>
      </c>
      <c r="C74" s="42">
        <v>1528.632216</v>
      </c>
      <c r="D74" s="29" t="str">
        <f>VLOOKUP(A74,Sheet11!A:B,2,false)</f>
        <v>Pakistan</v>
      </c>
      <c r="E74" s="42">
        <v>4.34628125</v>
      </c>
      <c r="F74" s="42">
        <v>1528.632216</v>
      </c>
    </row>
    <row r="75">
      <c r="A75" s="41" t="s">
        <v>415</v>
      </c>
      <c r="B75" s="42">
        <v>5.983291111</v>
      </c>
      <c r="C75" s="42">
        <v>6430.099837</v>
      </c>
      <c r="D75" s="29" t="str">
        <f>VLOOKUP(A75,Sheet11!A:B,2,false)</f>
        <v>Peru</v>
      </c>
      <c r="E75" s="42">
        <v>5.983291111</v>
      </c>
      <c r="F75" s="42">
        <v>6430.099837</v>
      </c>
    </row>
    <row r="76">
      <c r="A76" s="41" t="s">
        <v>421</v>
      </c>
      <c r="B76" s="42">
        <v>7.35</v>
      </c>
      <c r="C76" s="42">
        <v>15036.20798</v>
      </c>
      <c r="D76" s="29" t="str">
        <f>VLOOKUP(A76,Sheet11!A:B,2,false)</f>
        <v>Poland</v>
      </c>
      <c r="E76" s="42">
        <v>7.35</v>
      </c>
      <c r="F76" s="42">
        <v>15036.20798</v>
      </c>
    </row>
    <row r="77">
      <c r="A77" s="41" t="s">
        <v>424</v>
      </c>
      <c r="B77" s="42">
        <v>1.581818182</v>
      </c>
      <c r="C77" s="42">
        <v>20752.77104</v>
      </c>
      <c r="D77" s="29" t="str">
        <f>VLOOKUP(A77,Sheet11!A:B,2,false)</f>
        <v>Portugal</v>
      </c>
      <c r="E77" s="42">
        <v>1.581818182</v>
      </c>
      <c r="F77" s="42">
        <v>20752.77104</v>
      </c>
    </row>
    <row r="78">
      <c r="A78" s="41" t="s">
        <v>427</v>
      </c>
      <c r="B78" s="42">
        <v>0.773438571</v>
      </c>
      <c r="C78" s="42">
        <v>65040.31145</v>
      </c>
      <c r="D78" s="29" t="str">
        <f>VLOOKUP(A78,Sheet11!A:B,2,false)</f>
        <v>Qatar</v>
      </c>
      <c r="E78" s="42">
        <v>0.773438571</v>
      </c>
      <c r="F78" s="42">
        <v>65040.31145</v>
      </c>
    </row>
    <row r="79">
      <c r="A79" s="41" t="s">
        <v>430</v>
      </c>
      <c r="B79" s="42">
        <v>20.66666667</v>
      </c>
      <c r="C79" s="42">
        <v>10747.31683</v>
      </c>
      <c r="D79" s="29" t="str">
        <f>VLOOKUP(A79,Sheet11!A:B,2,false)</f>
        <v>Romania</v>
      </c>
      <c r="E79" s="42">
        <v>20.66666667</v>
      </c>
      <c r="F79" s="42">
        <v>10747.31683</v>
      </c>
    </row>
    <row r="80">
      <c r="A80" s="41" t="s">
        <v>436</v>
      </c>
      <c r="B80" s="42">
        <v>0.175</v>
      </c>
      <c r="C80" s="42">
        <v>853.9418981</v>
      </c>
      <c r="D80" s="29" t="str">
        <f>VLOOKUP(A80,Sheet11!A:B,2,false)</f>
        <v>Rwanda</v>
      </c>
      <c r="E80" s="42">
        <v>0.175</v>
      </c>
      <c r="F80" s="42">
        <v>853.9418981</v>
      </c>
    </row>
    <row r="81">
      <c r="A81" s="41" t="s">
        <v>502</v>
      </c>
      <c r="B81" s="42">
        <v>24.0</v>
      </c>
      <c r="C81" s="42">
        <v>1069.731468</v>
      </c>
      <c r="D81" s="29" t="str">
        <f>VLOOKUP(A81,Sheet11!A:B,2,false)</f>
        <v>Sudan (the)</v>
      </c>
      <c r="E81" s="42">
        <v>24.0</v>
      </c>
      <c r="F81" s="42">
        <v>1069.731468</v>
      </c>
    </row>
    <row r="82">
      <c r="A82" s="41" t="s">
        <v>460</v>
      </c>
      <c r="B82" s="42">
        <v>14.13333333</v>
      </c>
      <c r="C82" s="42">
        <v>1353.037952</v>
      </c>
      <c r="D82" s="29" t="str">
        <f>VLOOKUP(A82,Sheet11!A:B,2,false)</f>
        <v>Senegal</v>
      </c>
      <c r="E82" s="42">
        <v>14.13333333</v>
      </c>
      <c r="F82" s="42">
        <v>1353.037952</v>
      </c>
    </row>
    <row r="83">
      <c r="A83" s="41" t="s">
        <v>469</v>
      </c>
      <c r="B83" s="42">
        <v>13.1</v>
      </c>
      <c r="C83" s="42">
        <v>1041.549221</v>
      </c>
      <c r="D83" s="29" t="str">
        <f>VLOOKUP(A83,Sheet11!A:B,2,false)</f>
        <v>Sierra Leone</v>
      </c>
      <c r="E83" s="42">
        <v>13.1</v>
      </c>
      <c r="F83" s="42">
        <v>1041.549221</v>
      </c>
    </row>
    <row r="84">
      <c r="A84" s="41" t="s">
        <v>505</v>
      </c>
      <c r="B84" s="42">
        <v>3.3</v>
      </c>
      <c r="C84" s="42">
        <v>7974.08128</v>
      </c>
      <c r="D84" s="29" t="str">
        <f>VLOOKUP(A84,Sheet11!A:B,2,false)</f>
        <v>Suriname</v>
      </c>
      <c r="E84" s="42">
        <v>3.3</v>
      </c>
      <c r="F84" s="42">
        <v>7974.08128</v>
      </c>
    </row>
    <row r="85">
      <c r="A85" s="41" t="s">
        <v>475</v>
      </c>
      <c r="B85" s="42">
        <v>20.33333333</v>
      </c>
      <c r="C85" s="42">
        <v>17894.76727</v>
      </c>
      <c r="D85" s="29" t="str">
        <f>VLOOKUP(A85,Sheet11!A:B,2,false)</f>
        <v>Slovakia</v>
      </c>
      <c r="E85" s="42">
        <v>20.33333333</v>
      </c>
      <c r="F85" s="42">
        <v>17894.76727</v>
      </c>
    </row>
    <row r="86">
      <c r="A86" s="41" t="s">
        <v>478</v>
      </c>
      <c r="B86" s="42">
        <v>11.66666667</v>
      </c>
      <c r="C86" s="42">
        <v>23321.09967</v>
      </c>
      <c r="D86" s="29" t="str">
        <f>VLOOKUP(A86,Sheet11!A:B,2,false)</f>
        <v>Slovenia</v>
      </c>
      <c r="E86" s="42">
        <v>11.66666667</v>
      </c>
      <c r="F86" s="42">
        <v>23321.09967</v>
      </c>
    </row>
    <row r="87">
      <c r="A87" s="41" t="s">
        <v>508</v>
      </c>
      <c r="B87" s="42">
        <v>2.806122449</v>
      </c>
      <c r="C87" s="42">
        <v>52506.14781</v>
      </c>
      <c r="D87" s="29" t="str">
        <f>VLOOKUP(A87,Sheet11!A:B,2,false)</f>
        <v>Sweden</v>
      </c>
      <c r="E87" s="42">
        <v>2.806122449</v>
      </c>
      <c r="F87" s="42">
        <v>52506.14781</v>
      </c>
    </row>
    <row r="88">
      <c r="A88" s="41" t="s">
        <v>175</v>
      </c>
      <c r="B88" s="42">
        <v>4.56875</v>
      </c>
      <c r="C88" s="42">
        <v>3627.424426</v>
      </c>
      <c r="D88" s="29" t="str">
        <f>VLOOKUP(A88,Sheet11!A:B,2,false)</f>
        <v>Eswatini</v>
      </c>
      <c r="E88" s="42">
        <v>4.56875</v>
      </c>
      <c r="F88" s="42">
        <v>3627.424426</v>
      </c>
    </row>
    <row r="89">
      <c r="A89" s="41" t="s">
        <v>106</v>
      </c>
      <c r="B89" s="42">
        <v>5.88125</v>
      </c>
      <c r="C89" s="42">
        <v>901.6038428</v>
      </c>
      <c r="D89" s="29" t="str">
        <f>VLOOKUP(A89,Sheet11!A:B,2,false)</f>
        <v>Chad</v>
      </c>
      <c r="E89" s="42">
        <v>5.88125</v>
      </c>
      <c r="F89" s="42">
        <v>901.6038428</v>
      </c>
    </row>
    <row r="90">
      <c r="A90" s="41" t="s">
        <v>532</v>
      </c>
      <c r="B90" s="42">
        <v>12.76</v>
      </c>
      <c r="C90" s="42">
        <v>813.2161083</v>
      </c>
      <c r="D90" s="29" t="str">
        <f>VLOOKUP(A90,Sheet11!A:B,2,false)</f>
        <v>Togo</v>
      </c>
      <c r="E90" s="42">
        <v>12.76</v>
      </c>
      <c r="F90" s="42">
        <v>813.2161083</v>
      </c>
    </row>
    <row r="91">
      <c r="A91" s="41" t="s">
        <v>526</v>
      </c>
      <c r="B91" s="42">
        <v>3.423888889</v>
      </c>
      <c r="C91" s="42">
        <v>6121.086756</v>
      </c>
      <c r="D91" s="29" t="str">
        <f>VLOOKUP(A91,Sheet11!A:B,2,false)</f>
        <v>Thailand</v>
      </c>
      <c r="E91" s="42">
        <v>3.423888889</v>
      </c>
      <c r="F91" s="42">
        <v>6121.086756</v>
      </c>
    </row>
    <row r="92">
      <c r="A92" s="41" t="s">
        <v>535</v>
      </c>
      <c r="B92" s="42">
        <v>7.74375</v>
      </c>
      <c r="C92" s="42">
        <v>4479.49685</v>
      </c>
      <c r="D92" s="29" t="str">
        <f>VLOOKUP(A92,Sheet11!A:B,2,false)</f>
        <v>Tonga</v>
      </c>
      <c r="E92" s="42">
        <v>7.74375</v>
      </c>
      <c r="F92" s="42">
        <v>4479.49685</v>
      </c>
    </row>
    <row r="93">
      <c r="A93" s="41" t="s">
        <v>541</v>
      </c>
      <c r="B93" s="42">
        <v>8.495238095</v>
      </c>
      <c r="C93" s="42">
        <v>4000.707192</v>
      </c>
      <c r="D93" s="29" t="str">
        <f>VLOOKUP(A93,Sheet11!A:B,2,false)</f>
        <v>Tunisia</v>
      </c>
      <c r="E93" s="42">
        <v>8.495238095</v>
      </c>
      <c r="F93" s="42">
        <v>4000.707192</v>
      </c>
    </row>
    <row r="94">
      <c r="A94" s="41" t="s">
        <v>550</v>
      </c>
      <c r="B94" s="42">
        <v>13.09375</v>
      </c>
      <c r="C94" s="42">
        <v>3963.945263</v>
      </c>
      <c r="D94" s="29" t="str">
        <f>VLOOKUP(A94,Sheet11!A:B,2,false)</f>
        <v>Tuvalu</v>
      </c>
      <c r="E94" s="42">
        <v>13.09375</v>
      </c>
      <c r="F94" s="42">
        <v>3963.945263</v>
      </c>
    </row>
    <row r="95">
      <c r="A95" s="41" t="s">
        <v>523</v>
      </c>
      <c r="B95" s="42">
        <v>7.533333333</v>
      </c>
      <c r="C95" s="42">
        <v>994.5530402</v>
      </c>
      <c r="D95" s="29" t="str">
        <f>VLOOKUP(A95,Sheet11!A:B,2,false)</f>
        <v>Tanzania, United Republic of</v>
      </c>
      <c r="E95" s="42">
        <v>7.533333333</v>
      </c>
      <c r="F95" s="42">
        <v>994.5530402</v>
      </c>
    </row>
    <row r="96">
      <c r="A96" s="41" t="s">
        <v>553</v>
      </c>
      <c r="B96" s="42">
        <v>35.7</v>
      </c>
      <c r="C96" s="42">
        <v>907.4578601</v>
      </c>
      <c r="D96" s="29" t="str">
        <f>VLOOKUP(A96,Sheet11!A:B,2,false)</f>
        <v>Uganda</v>
      </c>
      <c r="E96" s="42">
        <v>35.7</v>
      </c>
      <c r="F96" s="42">
        <v>907.4578601</v>
      </c>
    </row>
    <row r="97">
      <c r="A97" s="41" t="s">
        <v>580</v>
      </c>
      <c r="B97" s="42">
        <v>0.8625</v>
      </c>
      <c r="C97" s="44"/>
      <c r="D97" s="29" t="str">
        <f>VLOOKUP(A97,Sheet11!A:B,2,false)</f>
        <v>Viet Nam</v>
      </c>
      <c r="E97" s="42">
        <v>0.8625</v>
      </c>
      <c r="F97" s="44"/>
    </row>
    <row r="98">
      <c r="A98" s="41" t="s">
        <v>574</v>
      </c>
      <c r="B98" s="42">
        <v>11.75312375</v>
      </c>
      <c r="C98" s="42">
        <v>2823.132953</v>
      </c>
      <c r="D98" s="29" t="str">
        <f>VLOOKUP(A98,Sheet11!A:B,2,false)</f>
        <v>Vanuatu</v>
      </c>
      <c r="E98" s="42">
        <v>11.75312375</v>
      </c>
      <c r="F98" s="42">
        <v>2823.132953</v>
      </c>
    </row>
    <row r="99">
      <c r="A99" s="41" t="s">
        <v>448</v>
      </c>
      <c r="B99" s="42">
        <v>6.4875</v>
      </c>
      <c r="C99" s="42">
        <v>4325.878403</v>
      </c>
      <c r="D99" s="29" t="str">
        <f>VLOOKUP(A99,Sheet11!A:B,2,false)</f>
        <v>Samoa</v>
      </c>
      <c r="E99" s="42">
        <v>6.4875</v>
      </c>
      <c r="F99" s="42">
        <v>4325.878403</v>
      </c>
    </row>
    <row r="100">
      <c r="A100" s="41" t="s">
        <v>487</v>
      </c>
      <c r="B100" s="42">
        <v>1.521428571</v>
      </c>
      <c r="C100" s="42">
        <v>5928.886524</v>
      </c>
      <c r="D100" s="29" t="str">
        <f>VLOOKUP(A100,Sheet11!A:B,2,false)</f>
        <v>South Africa</v>
      </c>
      <c r="E100" s="42">
        <v>1.521428571</v>
      </c>
      <c r="F100" s="42">
        <v>5928.886524</v>
      </c>
    </row>
    <row r="101">
      <c r="A101" s="41" t="s">
        <v>586</v>
      </c>
      <c r="B101" s="42">
        <v>30.63333333</v>
      </c>
      <c r="C101" s="42">
        <v>1300.055131</v>
      </c>
      <c r="D101" s="29" t="str">
        <f>VLOOKUP(A101,Sheet11!A:B,2,false)</f>
        <v>Zambia</v>
      </c>
      <c r="E101" s="42">
        <v>30.63333333</v>
      </c>
      <c r="F101" s="42">
        <v>1300.055131</v>
      </c>
    </row>
    <row r="102">
      <c r="A102" s="41" t="s">
        <v>589</v>
      </c>
      <c r="B102" s="42">
        <v>6.55</v>
      </c>
      <c r="C102" s="42">
        <v>1377.066099</v>
      </c>
      <c r="D102" s="29" t="str">
        <f>VLOOKUP(A102,Sheet11!A:B,2,false)</f>
        <v>Zimbabwe</v>
      </c>
      <c r="E102" s="42">
        <v>6.55</v>
      </c>
      <c r="F102" s="42">
        <v>1377.066099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5"/>
    <col customWidth="1" min="3" max="3" width="14.88"/>
    <col customWidth="1" min="4" max="4" width="18.38"/>
    <col customWidth="1" min="5" max="5" width="20.5"/>
    <col customWidth="1" min="6" max="6" width="14.25"/>
  </cols>
  <sheetData>
    <row r="1">
      <c r="A1" s="45" t="s">
        <v>757</v>
      </c>
      <c r="B1" s="29" t="s">
        <v>758</v>
      </c>
      <c r="C1" s="29" t="s">
        <v>759</v>
      </c>
      <c r="D1" s="29" t="s">
        <v>760</v>
      </c>
      <c r="E1" s="29" t="s">
        <v>761</v>
      </c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23" t="s">
        <v>762</v>
      </c>
      <c r="B2" s="23">
        <v>0.663865546</v>
      </c>
      <c r="C2" s="23">
        <v>0.640522876</v>
      </c>
      <c r="D2" s="23">
        <v>0.717647059</v>
      </c>
      <c r="E2" s="23">
        <v>0.569444444</v>
      </c>
    </row>
    <row r="3">
      <c r="A3" s="23" t="s">
        <v>763</v>
      </c>
      <c r="B3" s="23">
        <v>0.458752515</v>
      </c>
      <c r="C3" s="23">
        <v>0.598591549</v>
      </c>
      <c r="D3" s="23">
        <v>0.56</v>
      </c>
      <c r="E3" s="23">
        <v>0.324742268</v>
      </c>
    </row>
    <row r="9">
      <c r="A9" s="41" t="s">
        <v>757</v>
      </c>
      <c r="B9" s="29" t="s">
        <v>758</v>
      </c>
      <c r="C9" s="29" t="s">
        <v>759</v>
      </c>
      <c r="D9" s="29" t="s">
        <v>760</v>
      </c>
      <c r="E9" s="29" t="s">
        <v>761</v>
      </c>
    </row>
    <row r="10">
      <c r="A10" s="23" t="s">
        <v>762</v>
      </c>
      <c r="B10" s="42">
        <v>0.138571429</v>
      </c>
      <c r="C10" s="42">
        <v>0.2</v>
      </c>
      <c r="D10" s="42">
        <v>0.078571429</v>
      </c>
      <c r="E10" s="42">
        <v>0.2</v>
      </c>
    </row>
    <row r="11">
      <c r="A11" s="23" t="s">
        <v>763</v>
      </c>
      <c r="B11" s="42">
        <v>0.17</v>
      </c>
      <c r="C11" s="42">
        <v>0.166666667</v>
      </c>
      <c r="D11" s="42">
        <v>0.187739464</v>
      </c>
      <c r="E11" s="42">
        <v>0.166666667</v>
      </c>
    </row>
    <row r="14">
      <c r="A14" s="41" t="s">
        <v>757</v>
      </c>
      <c r="B14" s="41" t="s">
        <v>602</v>
      </c>
      <c r="C14" s="41" t="s">
        <v>764</v>
      </c>
    </row>
    <row r="15">
      <c r="A15" s="41" t="s">
        <v>765</v>
      </c>
      <c r="B15" s="41" t="s">
        <v>758</v>
      </c>
    </row>
    <row r="16">
      <c r="A16" s="41" t="s">
        <v>765</v>
      </c>
      <c r="B16" s="41" t="s">
        <v>759</v>
      </c>
    </row>
    <row r="17">
      <c r="A17" s="41" t="s">
        <v>765</v>
      </c>
      <c r="B17" s="41" t="s">
        <v>760</v>
      </c>
    </row>
    <row r="18">
      <c r="A18" s="41" t="s">
        <v>765</v>
      </c>
      <c r="B18" s="41" t="s">
        <v>761</v>
      </c>
    </row>
    <row r="19">
      <c r="A19" s="41" t="s">
        <v>757</v>
      </c>
      <c r="B19" s="41" t="s">
        <v>758</v>
      </c>
    </row>
    <row r="20">
      <c r="A20" s="41" t="s">
        <v>757</v>
      </c>
      <c r="B20" s="41" t="s">
        <v>759</v>
      </c>
    </row>
    <row r="21">
      <c r="A21" s="41" t="s">
        <v>757</v>
      </c>
      <c r="B21" s="41" t="s">
        <v>760</v>
      </c>
    </row>
    <row r="22">
      <c r="A22" s="41" t="s">
        <v>757</v>
      </c>
      <c r="B22" s="41" t="s">
        <v>761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766</v>
      </c>
      <c r="B1" s="23" t="s">
        <v>751</v>
      </c>
      <c r="C1" s="23" t="s">
        <v>767</v>
      </c>
      <c r="D1" s="23" t="s">
        <v>766</v>
      </c>
      <c r="E1" s="47" t="s">
        <v>768</v>
      </c>
    </row>
    <row r="2">
      <c r="A2" s="23" t="s">
        <v>7</v>
      </c>
      <c r="B2" s="23" t="s">
        <v>8</v>
      </c>
      <c r="C2" s="23" t="s">
        <v>9</v>
      </c>
      <c r="D2" s="23" t="s">
        <v>7</v>
      </c>
      <c r="E2" s="47">
        <v>4.0</v>
      </c>
    </row>
    <row r="3">
      <c r="A3" s="23" t="s">
        <v>10</v>
      </c>
      <c r="B3" s="23" t="s">
        <v>11</v>
      </c>
      <c r="C3" s="23" t="s">
        <v>12</v>
      </c>
      <c r="D3" s="23" t="s">
        <v>10</v>
      </c>
      <c r="E3" s="47">
        <v>8.0</v>
      </c>
    </row>
    <row r="4">
      <c r="A4" s="23" t="s">
        <v>13</v>
      </c>
      <c r="B4" s="23" t="s">
        <v>14</v>
      </c>
      <c r="C4" s="23" t="s">
        <v>15</v>
      </c>
      <c r="D4" s="23" t="s">
        <v>13</v>
      </c>
      <c r="E4" s="47">
        <v>12.0</v>
      </c>
    </row>
    <row r="5">
      <c r="A5" s="23" t="s">
        <v>769</v>
      </c>
      <c r="B5" s="23" t="s">
        <v>770</v>
      </c>
      <c r="C5" s="23" t="s">
        <v>771</v>
      </c>
      <c r="D5" s="23" t="s">
        <v>769</v>
      </c>
      <c r="E5" s="47">
        <v>16.0</v>
      </c>
    </row>
    <row r="6">
      <c r="A6" s="23" t="s">
        <v>16</v>
      </c>
      <c r="B6" s="23" t="s">
        <v>17</v>
      </c>
      <c r="C6" s="23" t="s">
        <v>18</v>
      </c>
      <c r="D6" s="23" t="s">
        <v>16</v>
      </c>
      <c r="E6" s="47">
        <v>20.0</v>
      </c>
    </row>
    <row r="7">
      <c r="A7" s="23" t="s">
        <v>19</v>
      </c>
      <c r="B7" s="23" t="s">
        <v>20</v>
      </c>
      <c r="C7" s="23" t="s">
        <v>21</v>
      </c>
      <c r="D7" s="23" t="s">
        <v>19</v>
      </c>
      <c r="E7" s="47">
        <v>24.0</v>
      </c>
    </row>
    <row r="8">
      <c r="A8" s="23" t="s">
        <v>772</v>
      </c>
      <c r="B8" s="23" t="s">
        <v>773</v>
      </c>
      <c r="C8" s="23" t="s">
        <v>774</v>
      </c>
      <c r="D8" s="23" t="s">
        <v>772</v>
      </c>
      <c r="E8" s="47">
        <v>660.0</v>
      </c>
    </row>
    <row r="9">
      <c r="A9" s="23" t="s">
        <v>775</v>
      </c>
      <c r="B9" s="23" t="s">
        <v>776</v>
      </c>
      <c r="C9" s="23" t="s">
        <v>777</v>
      </c>
      <c r="D9" s="23" t="s">
        <v>775</v>
      </c>
      <c r="E9" s="47">
        <v>10.0</v>
      </c>
    </row>
    <row r="10">
      <c r="A10" s="23" t="s">
        <v>22</v>
      </c>
      <c r="B10" s="23" t="s">
        <v>23</v>
      </c>
      <c r="C10" s="23" t="s">
        <v>24</v>
      </c>
      <c r="D10" s="23" t="s">
        <v>22</v>
      </c>
      <c r="E10" s="47">
        <v>28.0</v>
      </c>
    </row>
    <row r="11">
      <c r="A11" s="23" t="s">
        <v>25</v>
      </c>
      <c r="B11" s="23" t="s">
        <v>26</v>
      </c>
      <c r="C11" s="23" t="s">
        <v>27</v>
      </c>
      <c r="D11" s="23" t="s">
        <v>25</v>
      </c>
      <c r="E11" s="47">
        <v>32.0</v>
      </c>
    </row>
    <row r="12">
      <c r="A12" s="23" t="s">
        <v>28</v>
      </c>
      <c r="B12" s="23" t="s">
        <v>29</v>
      </c>
      <c r="C12" s="23" t="s">
        <v>30</v>
      </c>
      <c r="D12" s="23" t="s">
        <v>28</v>
      </c>
      <c r="E12" s="47">
        <v>51.0</v>
      </c>
    </row>
    <row r="13">
      <c r="A13" s="23" t="s">
        <v>778</v>
      </c>
      <c r="B13" s="23" t="s">
        <v>779</v>
      </c>
      <c r="C13" s="23" t="s">
        <v>780</v>
      </c>
      <c r="D13" s="23" t="s">
        <v>778</v>
      </c>
      <c r="E13" s="47">
        <v>533.0</v>
      </c>
    </row>
    <row r="14">
      <c r="A14" s="23" t="s">
        <v>31</v>
      </c>
      <c r="B14" s="23" t="s">
        <v>32</v>
      </c>
      <c r="C14" s="23" t="s">
        <v>33</v>
      </c>
      <c r="D14" s="23" t="s">
        <v>31</v>
      </c>
      <c r="E14" s="47">
        <v>36.0</v>
      </c>
    </row>
    <row r="15">
      <c r="A15" s="23" t="s">
        <v>34</v>
      </c>
      <c r="B15" s="23" t="s">
        <v>35</v>
      </c>
      <c r="C15" s="23" t="s">
        <v>36</v>
      </c>
      <c r="D15" s="23" t="s">
        <v>34</v>
      </c>
      <c r="E15" s="47">
        <v>40.0</v>
      </c>
    </row>
    <row r="16">
      <c r="A16" s="23" t="s">
        <v>37</v>
      </c>
      <c r="B16" s="23" t="s">
        <v>38</v>
      </c>
      <c r="C16" s="23" t="s">
        <v>39</v>
      </c>
      <c r="D16" s="23" t="s">
        <v>37</v>
      </c>
      <c r="E16" s="47">
        <v>31.0</v>
      </c>
    </row>
    <row r="17">
      <c r="A17" s="23" t="s">
        <v>40</v>
      </c>
      <c r="B17" s="23" t="s">
        <v>41</v>
      </c>
      <c r="C17" s="23" t="s">
        <v>42</v>
      </c>
      <c r="D17" s="23" t="s">
        <v>40</v>
      </c>
      <c r="E17" s="47">
        <v>44.0</v>
      </c>
    </row>
    <row r="18">
      <c r="A18" s="23" t="s">
        <v>43</v>
      </c>
      <c r="B18" s="23" t="s">
        <v>44</v>
      </c>
      <c r="C18" s="23" t="s">
        <v>45</v>
      </c>
      <c r="D18" s="23" t="s">
        <v>43</v>
      </c>
      <c r="E18" s="47">
        <v>48.0</v>
      </c>
    </row>
    <row r="19">
      <c r="A19" s="23" t="s">
        <v>46</v>
      </c>
      <c r="B19" s="23" t="s">
        <v>47</v>
      </c>
      <c r="C19" s="23" t="s">
        <v>48</v>
      </c>
      <c r="D19" s="23" t="s">
        <v>46</v>
      </c>
      <c r="E19" s="47">
        <v>50.0</v>
      </c>
    </row>
    <row r="20">
      <c r="A20" s="23" t="s">
        <v>49</v>
      </c>
      <c r="B20" s="23" t="s">
        <v>50</v>
      </c>
      <c r="C20" s="23" t="s">
        <v>51</v>
      </c>
      <c r="D20" s="23" t="s">
        <v>49</v>
      </c>
      <c r="E20" s="47">
        <v>52.0</v>
      </c>
    </row>
    <row r="21">
      <c r="A21" s="23" t="s">
        <v>52</v>
      </c>
      <c r="B21" s="23" t="s">
        <v>53</v>
      </c>
      <c r="C21" s="23" t="s">
        <v>54</v>
      </c>
      <c r="D21" s="23" t="s">
        <v>52</v>
      </c>
      <c r="E21" s="47">
        <v>112.0</v>
      </c>
    </row>
    <row r="22">
      <c r="A22" s="23" t="s">
        <v>55</v>
      </c>
      <c r="B22" s="23" t="s">
        <v>56</v>
      </c>
      <c r="C22" s="23" t="s">
        <v>57</v>
      </c>
      <c r="D22" s="23" t="s">
        <v>55</v>
      </c>
      <c r="E22" s="47">
        <v>56.0</v>
      </c>
    </row>
    <row r="23">
      <c r="A23" s="23" t="s">
        <v>58</v>
      </c>
      <c r="B23" s="23" t="s">
        <v>59</v>
      </c>
      <c r="C23" s="23" t="s">
        <v>60</v>
      </c>
      <c r="D23" s="23" t="s">
        <v>58</v>
      </c>
      <c r="E23" s="47">
        <v>84.0</v>
      </c>
    </row>
    <row r="24">
      <c r="A24" s="23" t="s">
        <v>61</v>
      </c>
      <c r="B24" s="23" t="s">
        <v>62</v>
      </c>
      <c r="C24" s="23" t="s">
        <v>63</v>
      </c>
      <c r="D24" s="23" t="s">
        <v>61</v>
      </c>
      <c r="E24" s="47">
        <v>204.0</v>
      </c>
    </row>
    <row r="25">
      <c r="A25" s="23" t="s">
        <v>781</v>
      </c>
      <c r="B25" s="23" t="s">
        <v>782</v>
      </c>
      <c r="C25" s="23" t="s">
        <v>783</v>
      </c>
      <c r="D25" s="23" t="s">
        <v>781</v>
      </c>
      <c r="E25" s="47">
        <v>60.0</v>
      </c>
    </row>
    <row r="26">
      <c r="A26" s="23" t="s">
        <v>64</v>
      </c>
      <c r="B26" s="23" t="s">
        <v>65</v>
      </c>
      <c r="C26" s="23" t="s">
        <v>66</v>
      </c>
      <c r="D26" s="23" t="s">
        <v>64</v>
      </c>
      <c r="E26" s="47">
        <v>64.0</v>
      </c>
    </row>
    <row r="27">
      <c r="A27" s="23" t="s">
        <v>67</v>
      </c>
      <c r="B27" s="23" t="s">
        <v>68</v>
      </c>
      <c r="C27" s="23" t="s">
        <v>69</v>
      </c>
      <c r="D27" s="23" t="s">
        <v>67</v>
      </c>
      <c r="E27" s="47">
        <v>68.0</v>
      </c>
    </row>
    <row r="28">
      <c r="A28" s="23" t="s">
        <v>784</v>
      </c>
      <c r="B28" s="23" t="s">
        <v>785</v>
      </c>
      <c r="C28" s="23" t="s">
        <v>786</v>
      </c>
      <c r="D28" s="23" t="s">
        <v>784</v>
      </c>
      <c r="E28" s="47">
        <v>535.0</v>
      </c>
    </row>
    <row r="29">
      <c r="A29" s="23" t="s">
        <v>70</v>
      </c>
      <c r="B29" s="23" t="s">
        <v>71</v>
      </c>
      <c r="C29" s="23" t="s">
        <v>72</v>
      </c>
      <c r="D29" s="23" t="s">
        <v>70</v>
      </c>
      <c r="E29" s="47">
        <v>70.0</v>
      </c>
    </row>
    <row r="30">
      <c r="A30" s="23" t="s">
        <v>73</v>
      </c>
      <c r="B30" s="23" t="s">
        <v>74</v>
      </c>
      <c r="C30" s="23" t="s">
        <v>75</v>
      </c>
      <c r="D30" s="23" t="s">
        <v>73</v>
      </c>
      <c r="E30" s="47">
        <v>72.0</v>
      </c>
    </row>
    <row r="31">
      <c r="A31" s="23" t="s">
        <v>787</v>
      </c>
      <c r="B31" s="23" t="s">
        <v>788</v>
      </c>
      <c r="C31" s="23" t="s">
        <v>789</v>
      </c>
      <c r="D31" s="23" t="s">
        <v>787</v>
      </c>
      <c r="E31" s="47">
        <v>74.0</v>
      </c>
    </row>
    <row r="32">
      <c r="A32" s="23" t="s">
        <v>76</v>
      </c>
      <c r="B32" s="23" t="s">
        <v>77</v>
      </c>
      <c r="C32" s="23" t="s">
        <v>78</v>
      </c>
      <c r="D32" s="23" t="s">
        <v>76</v>
      </c>
      <c r="E32" s="47">
        <v>76.0</v>
      </c>
    </row>
    <row r="33">
      <c r="A33" s="23" t="s">
        <v>790</v>
      </c>
      <c r="B33" s="23" t="s">
        <v>791</v>
      </c>
      <c r="C33" s="23" t="s">
        <v>792</v>
      </c>
      <c r="D33" s="23" t="s">
        <v>790</v>
      </c>
      <c r="E33" s="47">
        <v>86.0</v>
      </c>
    </row>
    <row r="34">
      <c r="A34" s="23" t="s">
        <v>79</v>
      </c>
      <c r="B34" s="23" t="s">
        <v>80</v>
      </c>
      <c r="C34" s="23" t="s">
        <v>81</v>
      </c>
      <c r="D34" s="23" t="s">
        <v>79</v>
      </c>
      <c r="E34" s="47">
        <v>96.0</v>
      </c>
    </row>
    <row r="35">
      <c r="A35" s="23" t="s">
        <v>82</v>
      </c>
      <c r="B35" s="23" t="s">
        <v>83</v>
      </c>
      <c r="C35" s="23" t="s">
        <v>84</v>
      </c>
      <c r="D35" s="23" t="s">
        <v>82</v>
      </c>
      <c r="E35" s="47">
        <v>100.0</v>
      </c>
    </row>
    <row r="36">
      <c r="A36" s="23" t="s">
        <v>85</v>
      </c>
      <c r="B36" s="23" t="s">
        <v>86</v>
      </c>
      <c r="C36" s="23" t="s">
        <v>87</v>
      </c>
      <c r="D36" s="23" t="s">
        <v>85</v>
      </c>
      <c r="E36" s="47">
        <v>854.0</v>
      </c>
    </row>
    <row r="37">
      <c r="A37" s="23" t="s">
        <v>88</v>
      </c>
      <c r="B37" s="23" t="s">
        <v>89</v>
      </c>
      <c r="C37" s="23" t="s">
        <v>90</v>
      </c>
      <c r="D37" s="23" t="s">
        <v>88</v>
      </c>
      <c r="E37" s="47">
        <v>108.0</v>
      </c>
    </row>
    <row r="38">
      <c r="A38" s="23" t="s">
        <v>91</v>
      </c>
      <c r="B38" s="23" t="s">
        <v>92</v>
      </c>
      <c r="C38" s="23" t="s">
        <v>93</v>
      </c>
      <c r="D38" s="23" t="s">
        <v>91</v>
      </c>
      <c r="E38" s="47">
        <v>132.0</v>
      </c>
    </row>
    <row r="39">
      <c r="A39" s="23" t="s">
        <v>94</v>
      </c>
      <c r="B39" s="23" t="s">
        <v>95</v>
      </c>
      <c r="C39" s="23" t="s">
        <v>96</v>
      </c>
      <c r="D39" s="23" t="s">
        <v>94</v>
      </c>
      <c r="E39" s="47">
        <v>116.0</v>
      </c>
    </row>
    <row r="40">
      <c r="A40" s="23" t="s">
        <v>97</v>
      </c>
      <c r="B40" s="23" t="s">
        <v>98</v>
      </c>
      <c r="C40" s="23" t="s">
        <v>99</v>
      </c>
      <c r="D40" s="23" t="s">
        <v>97</v>
      </c>
      <c r="E40" s="47">
        <v>120.0</v>
      </c>
    </row>
    <row r="41">
      <c r="A41" s="23" t="s">
        <v>100</v>
      </c>
      <c r="B41" s="23" t="s">
        <v>101</v>
      </c>
      <c r="C41" s="23" t="s">
        <v>102</v>
      </c>
      <c r="D41" s="23" t="s">
        <v>100</v>
      </c>
      <c r="E41" s="47">
        <v>124.0</v>
      </c>
    </row>
    <row r="42">
      <c r="A42" s="23" t="s">
        <v>793</v>
      </c>
      <c r="B42" s="23" t="s">
        <v>794</v>
      </c>
      <c r="C42" s="23" t="s">
        <v>795</v>
      </c>
      <c r="D42" s="23" t="s">
        <v>793</v>
      </c>
      <c r="E42" s="47">
        <v>136.0</v>
      </c>
    </row>
    <row r="43">
      <c r="A43" s="23" t="s">
        <v>103</v>
      </c>
      <c r="B43" s="23" t="s">
        <v>104</v>
      </c>
      <c r="C43" s="23" t="s">
        <v>105</v>
      </c>
      <c r="D43" s="23" t="s">
        <v>103</v>
      </c>
      <c r="E43" s="47">
        <v>140.0</v>
      </c>
    </row>
    <row r="44">
      <c r="A44" s="23" t="s">
        <v>106</v>
      </c>
      <c r="B44" s="23" t="s">
        <v>107</v>
      </c>
      <c r="C44" s="23" t="s">
        <v>108</v>
      </c>
      <c r="D44" s="23" t="s">
        <v>106</v>
      </c>
      <c r="E44" s="47">
        <v>148.0</v>
      </c>
    </row>
    <row r="45">
      <c r="A45" s="23" t="s">
        <v>109</v>
      </c>
      <c r="B45" s="23" t="s">
        <v>110</v>
      </c>
      <c r="C45" s="23" t="s">
        <v>111</v>
      </c>
      <c r="D45" s="23" t="s">
        <v>109</v>
      </c>
      <c r="E45" s="47">
        <v>152.0</v>
      </c>
    </row>
    <row r="46">
      <c r="A46" s="23" t="s">
        <v>112</v>
      </c>
      <c r="B46" s="23" t="s">
        <v>113</v>
      </c>
      <c r="C46" s="23" t="s">
        <v>114</v>
      </c>
      <c r="D46" s="23" t="s">
        <v>112</v>
      </c>
      <c r="E46" s="47">
        <v>156.0</v>
      </c>
    </row>
    <row r="47">
      <c r="A47" s="23" t="s">
        <v>796</v>
      </c>
      <c r="B47" s="23" t="s">
        <v>797</v>
      </c>
      <c r="C47" s="23" t="s">
        <v>798</v>
      </c>
      <c r="D47" s="23" t="s">
        <v>796</v>
      </c>
      <c r="E47" s="47">
        <v>162.0</v>
      </c>
    </row>
    <row r="48">
      <c r="A48" s="23" t="s">
        <v>799</v>
      </c>
      <c r="B48" s="23" t="s">
        <v>800</v>
      </c>
      <c r="C48" s="23" t="s">
        <v>801</v>
      </c>
      <c r="D48" s="23" t="s">
        <v>799</v>
      </c>
      <c r="E48" s="47">
        <v>166.0</v>
      </c>
    </row>
    <row r="49">
      <c r="A49" s="23" t="s">
        <v>115</v>
      </c>
      <c r="B49" s="23" t="s">
        <v>116</v>
      </c>
      <c r="C49" s="23" t="s">
        <v>117</v>
      </c>
      <c r="D49" s="23" t="s">
        <v>115</v>
      </c>
      <c r="E49" s="47">
        <v>170.0</v>
      </c>
    </row>
    <row r="50">
      <c r="A50" s="23" t="s">
        <v>118</v>
      </c>
      <c r="B50" s="23" t="s">
        <v>119</v>
      </c>
      <c r="C50" s="23" t="s">
        <v>120</v>
      </c>
      <c r="D50" s="23" t="s">
        <v>118</v>
      </c>
      <c r="E50" s="47">
        <v>174.0</v>
      </c>
    </row>
    <row r="51">
      <c r="A51" s="23" t="s">
        <v>124</v>
      </c>
      <c r="B51" s="23" t="s">
        <v>802</v>
      </c>
      <c r="C51" s="23" t="s">
        <v>126</v>
      </c>
      <c r="D51" s="23" t="s">
        <v>124</v>
      </c>
      <c r="E51" s="47">
        <v>180.0</v>
      </c>
    </row>
    <row r="52">
      <c r="A52" s="23" t="s">
        <v>121</v>
      </c>
      <c r="B52" s="23" t="s">
        <v>122</v>
      </c>
      <c r="C52" s="23" t="s">
        <v>123</v>
      </c>
      <c r="D52" s="23" t="s">
        <v>121</v>
      </c>
      <c r="E52" s="47">
        <v>178.0</v>
      </c>
    </row>
    <row r="53">
      <c r="A53" s="23" t="s">
        <v>803</v>
      </c>
      <c r="B53" s="23" t="s">
        <v>804</v>
      </c>
      <c r="C53" s="23" t="s">
        <v>805</v>
      </c>
      <c r="D53" s="23" t="s">
        <v>803</v>
      </c>
      <c r="E53" s="47">
        <v>184.0</v>
      </c>
    </row>
    <row r="54">
      <c r="A54" s="23" t="s">
        <v>127</v>
      </c>
      <c r="B54" s="23" t="s">
        <v>128</v>
      </c>
      <c r="C54" s="23" t="s">
        <v>129</v>
      </c>
      <c r="D54" s="23" t="s">
        <v>127</v>
      </c>
      <c r="E54" s="47">
        <v>188.0</v>
      </c>
    </row>
    <row r="55">
      <c r="A55" s="23" t="s">
        <v>133</v>
      </c>
      <c r="B55" s="23" t="s">
        <v>134</v>
      </c>
      <c r="C55" s="23" t="s">
        <v>135</v>
      </c>
      <c r="D55" s="23" t="s">
        <v>133</v>
      </c>
      <c r="E55" s="47">
        <v>191.0</v>
      </c>
    </row>
    <row r="56">
      <c r="A56" s="23" t="s">
        <v>136</v>
      </c>
      <c r="B56" s="23" t="s">
        <v>137</v>
      </c>
      <c r="C56" s="23" t="s">
        <v>138</v>
      </c>
      <c r="D56" s="23" t="s">
        <v>136</v>
      </c>
      <c r="E56" s="47">
        <v>192.0</v>
      </c>
    </row>
    <row r="57">
      <c r="A57" s="23" t="s">
        <v>806</v>
      </c>
      <c r="B57" s="23" t="s">
        <v>807</v>
      </c>
      <c r="C57" s="23" t="s">
        <v>808</v>
      </c>
      <c r="D57" s="23" t="s">
        <v>806</v>
      </c>
      <c r="E57" s="47">
        <v>531.0</v>
      </c>
    </row>
    <row r="58">
      <c r="A58" s="23" t="s">
        <v>139</v>
      </c>
      <c r="B58" s="23" t="s">
        <v>140</v>
      </c>
      <c r="C58" s="23" t="s">
        <v>141</v>
      </c>
      <c r="D58" s="23" t="s">
        <v>139</v>
      </c>
      <c r="E58" s="47">
        <v>196.0</v>
      </c>
    </row>
    <row r="59">
      <c r="A59" s="23" t="s">
        <v>142</v>
      </c>
      <c r="B59" s="23" t="s">
        <v>143</v>
      </c>
      <c r="C59" s="23" t="s">
        <v>144</v>
      </c>
      <c r="D59" s="23" t="s">
        <v>142</v>
      </c>
      <c r="E59" s="47">
        <v>203.0</v>
      </c>
    </row>
    <row r="60">
      <c r="A60" s="23" t="s">
        <v>130</v>
      </c>
      <c r="B60" s="23" t="s">
        <v>131</v>
      </c>
      <c r="C60" s="23" t="s">
        <v>132</v>
      </c>
      <c r="D60" s="23" t="s">
        <v>130</v>
      </c>
      <c r="E60" s="47">
        <v>384.0</v>
      </c>
    </row>
    <row r="61">
      <c r="A61" s="23" t="s">
        <v>145</v>
      </c>
      <c r="B61" s="23" t="s">
        <v>146</v>
      </c>
      <c r="C61" s="23" t="s">
        <v>147</v>
      </c>
      <c r="D61" s="23" t="s">
        <v>145</v>
      </c>
      <c r="E61" s="47">
        <v>208.0</v>
      </c>
    </row>
    <row r="62">
      <c r="A62" s="23" t="s">
        <v>148</v>
      </c>
      <c r="B62" s="23" t="s">
        <v>149</v>
      </c>
      <c r="C62" s="23" t="s">
        <v>150</v>
      </c>
      <c r="D62" s="23" t="s">
        <v>148</v>
      </c>
      <c r="E62" s="47">
        <v>262.0</v>
      </c>
    </row>
    <row r="63">
      <c r="A63" s="23" t="s">
        <v>151</v>
      </c>
      <c r="B63" s="23" t="s">
        <v>152</v>
      </c>
      <c r="C63" s="23" t="s">
        <v>153</v>
      </c>
      <c r="D63" s="23" t="s">
        <v>151</v>
      </c>
      <c r="E63" s="47">
        <v>212.0</v>
      </c>
    </row>
    <row r="64">
      <c r="A64" s="23" t="s">
        <v>154</v>
      </c>
      <c r="B64" s="23" t="s">
        <v>155</v>
      </c>
      <c r="C64" s="23" t="s">
        <v>156</v>
      </c>
      <c r="D64" s="23" t="s">
        <v>154</v>
      </c>
      <c r="E64" s="47">
        <v>214.0</v>
      </c>
    </row>
    <row r="65">
      <c r="A65" s="23" t="s">
        <v>157</v>
      </c>
      <c r="B65" s="23" t="s">
        <v>158</v>
      </c>
      <c r="C65" s="23" t="s">
        <v>159</v>
      </c>
      <c r="D65" s="23" t="s">
        <v>157</v>
      </c>
      <c r="E65" s="47">
        <v>218.0</v>
      </c>
    </row>
    <row r="66">
      <c r="A66" s="23" t="s">
        <v>160</v>
      </c>
      <c r="B66" s="23" t="s">
        <v>161</v>
      </c>
      <c r="C66" s="23" t="s">
        <v>162</v>
      </c>
      <c r="D66" s="23" t="s">
        <v>160</v>
      </c>
      <c r="E66" s="47">
        <v>818.0</v>
      </c>
    </row>
    <row r="67">
      <c r="A67" s="23" t="s">
        <v>163</v>
      </c>
      <c r="B67" s="23" t="s">
        <v>164</v>
      </c>
      <c r="C67" s="23" t="s">
        <v>165</v>
      </c>
      <c r="D67" s="23" t="s">
        <v>163</v>
      </c>
      <c r="E67" s="47">
        <v>222.0</v>
      </c>
    </row>
    <row r="68">
      <c r="A68" s="23" t="s">
        <v>166</v>
      </c>
      <c r="B68" s="23" t="s">
        <v>167</v>
      </c>
      <c r="C68" s="23" t="s">
        <v>168</v>
      </c>
      <c r="D68" s="23" t="s">
        <v>166</v>
      </c>
      <c r="E68" s="47">
        <v>226.0</v>
      </c>
    </row>
    <row r="69">
      <c r="A69" s="23" t="s">
        <v>169</v>
      </c>
      <c r="B69" s="23" t="s">
        <v>170</v>
      </c>
      <c r="C69" s="23" t="s">
        <v>171</v>
      </c>
      <c r="D69" s="23" t="s">
        <v>169</v>
      </c>
      <c r="E69" s="47">
        <v>232.0</v>
      </c>
    </row>
    <row r="70">
      <c r="A70" s="23" t="s">
        <v>172</v>
      </c>
      <c r="B70" s="23" t="s">
        <v>173</v>
      </c>
      <c r="C70" s="23" t="s">
        <v>174</v>
      </c>
      <c r="D70" s="23" t="s">
        <v>172</v>
      </c>
      <c r="E70" s="47">
        <v>233.0</v>
      </c>
    </row>
    <row r="71">
      <c r="A71" s="23" t="s">
        <v>175</v>
      </c>
      <c r="B71" s="23" t="s">
        <v>176</v>
      </c>
      <c r="C71" s="23" t="s">
        <v>177</v>
      </c>
      <c r="D71" s="23" t="s">
        <v>175</v>
      </c>
      <c r="E71" s="47">
        <v>748.0</v>
      </c>
    </row>
    <row r="72">
      <c r="A72" s="23" t="s">
        <v>178</v>
      </c>
      <c r="B72" s="23" t="s">
        <v>179</v>
      </c>
      <c r="C72" s="23" t="s">
        <v>180</v>
      </c>
      <c r="D72" s="23" t="s">
        <v>178</v>
      </c>
      <c r="E72" s="47">
        <v>231.0</v>
      </c>
    </row>
    <row r="73">
      <c r="A73" s="23" t="s">
        <v>809</v>
      </c>
      <c r="B73" s="23" t="s">
        <v>810</v>
      </c>
      <c r="C73" s="23" t="s">
        <v>811</v>
      </c>
      <c r="D73" s="23" t="s">
        <v>809</v>
      </c>
      <c r="E73" s="47">
        <v>238.0</v>
      </c>
    </row>
    <row r="74">
      <c r="A74" s="23" t="s">
        <v>812</v>
      </c>
      <c r="B74" s="23" t="s">
        <v>813</v>
      </c>
      <c r="C74" s="23" t="s">
        <v>814</v>
      </c>
      <c r="D74" s="23" t="s">
        <v>812</v>
      </c>
      <c r="E74" s="47">
        <v>234.0</v>
      </c>
    </row>
    <row r="75">
      <c r="A75" s="23" t="s">
        <v>181</v>
      </c>
      <c r="B75" s="23" t="s">
        <v>182</v>
      </c>
      <c r="C75" s="23" t="s">
        <v>183</v>
      </c>
      <c r="D75" s="23" t="s">
        <v>181</v>
      </c>
      <c r="E75" s="47">
        <v>242.0</v>
      </c>
    </row>
    <row r="76">
      <c r="A76" s="23" t="s">
        <v>184</v>
      </c>
      <c r="B76" s="23" t="s">
        <v>185</v>
      </c>
      <c r="C76" s="23" t="s">
        <v>186</v>
      </c>
      <c r="D76" s="23" t="s">
        <v>184</v>
      </c>
      <c r="E76" s="47">
        <v>246.0</v>
      </c>
    </row>
    <row r="77">
      <c r="A77" s="23" t="s">
        <v>187</v>
      </c>
      <c r="B77" s="23" t="s">
        <v>188</v>
      </c>
      <c r="C77" s="23" t="s">
        <v>189</v>
      </c>
      <c r="D77" s="23" t="s">
        <v>187</v>
      </c>
      <c r="E77" s="47">
        <v>250.0</v>
      </c>
    </row>
    <row r="78">
      <c r="A78" s="23" t="s">
        <v>815</v>
      </c>
      <c r="B78" s="23" t="s">
        <v>816</v>
      </c>
      <c r="C78" s="23" t="s">
        <v>817</v>
      </c>
      <c r="D78" s="23" t="s">
        <v>815</v>
      </c>
      <c r="E78" s="47">
        <v>254.0</v>
      </c>
    </row>
    <row r="79">
      <c r="A79" s="23" t="s">
        <v>818</v>
      </c>
      <c r="B79" s="23" t="s">
        <v>819</v>
      </c>
      <c r="C79" s="23" t="s">
        <v>820</v>
      </c>
      <c r="D79" s="23" t="s">
        <v>818</v>
      </c>
      <c r="E79" s="47">
        <v>258.0</v>
      </c>
    </row>
    <row r="80">
      <c r="A80" s="23" t="s">
        <v>821</v>
      </c>
      <c r="B80" s="23" t="s">
        <v>822</v>
      </c>
      <c r="C80" s="23" t="s">
        <v>823</v>
      </c>
      <c r="D80" s="23" t="s">
        <v>821</v>
      </c>
      <c r="E80" s="47">
        <v>260.0</v>
      </c>
    </row>
    <row r="81">
      <c r="A81" s="23" t="s">
        <v>190</v>
      </c>
      <c r="B81" s="23" t="s">
        <v>191</v>
      </c>
      <c r="C81" s="23" t="s">
        <v>192</v>
      </c>
      <c r="D81" s="23" t="s">
        <v>190</v>
      </c>
      <c r="E81" s="47">
        <v>266.0</v>
      </c>
    </row>
    <row r="82">
      <c r="A82" s="23" t="s">
        <v>193</v>
      </c>
      <c r="B82" s="23" t="s">
        <v>194</v>
      </c>
      <c r="C82" s="23" t="s">
        <v>195</v>
      </c>
      <c r="D82" s="23" t="s">
        <v>193</v>
      </c>
      <c r="E82" s="47">
        <v>270.0</v>
      </c>
    </row>
    <row r="83">
      <c r="A83" s="23" t="s">
        <v>196</v>
      </c>
      <c r="B83" s="23" t="s">
        <v>197</v>
      </c>
      <c r="C83" s="23" t="s">
        <v>198</v>
      </c>
      <c r="D83" s="23" t="s">
        <v>196</v>
      </c>
      <c r="E83" s="47">
        <v>268.0</v>
      </c>
    </row>
    <row r="84">
      <c r="A84" s="23" t="s">
        <v>199</v>
      </c>
      <c r="B84" s="23" t="s">
        <v>200</v>
      </c>
      <c r="C84" s="23" t="s">
        <v>201</v>
      </c>
      <c r="D84" s="23" t="s">
        <v>199</v>
      </c>
      <c r="E84" s="47">
        <v>276.0</v>
      </c>
    </row>
    <row r="85">
      <c r="A85" s="23" t="s">
        <v>202</v>
      </c>
      <c r="B85" s="23" t="s">
        <v>203</v>
      </c>
      <c r="C85" s="23" t="s">
        <v>204</v>
      </c>
      <c r="D85" s="23" t="s">
        <v>202</v>
      </c>
      <c r="E85" s="47">
        <v>288.0</v>
      </c>
    </row>
    <row r="86">
      <c r="A86" s="23" t="s">
        <v>824</v>
      </c>
      <c r="B86" s="23" t="s">
        <v>825</v>
      </c>
      <c r="C86" s="23" t="s">
        <v>826</v>
      </c>
      <c r="D86" s="23" t="s">
        <v>824</v>
      </c>
      <c r="E86" s="47">
        <v>292.0</v>
      </c>
    </row>
    <row r="87">
      <c r="A87" s="23" t="s">
        <v>205</v>
      </c>
      <c r="B87" s="23" t="s">
        <v>206</v>
      </c>
      <c r="C87" s="23" t="s">
        <v>207</v>
      </c>
      <c r="D87" s="23" t="s">
        <v>205</v>
      </c>
      <c r="E87" s="47">
        <v>300.0</v>
      </c>
    </row>
    <row r="88">
      <c r="A88" s="23" t="s">
        <v>827</v>
      </c>
      <c r="B88" s="23" t="s">
        <v>828</v>
      </c>
      <c r="C88" s="23" t="s">
        <v>829</v>
      </c>
      <c r="D88" s="23" t="s">
        <v>827</v>
      </c>
      <c r="E88" s="47">
        <v>304.0</v>
      </c>
    </row>
    <row r="89">
      <c r="A89" s="23" t="s">
        <v>208</v>
      </c>
      <c r="B89" s="23" t="s">
        <v>209</v>
      </c>
      <c r="C89" s="23" t="s">
        <v>210</v>
      </c>
      <c r="D89" s="23" t="s">
        <v>208</v>
      </c>
      <c r="E89" s="47">
        <v>308.0</v>
      </c>
    </row>
    <row r="90">
      <c r="A90" s="23" t="s">
        <v>830</v>
      </c>
      <c r="B90" s="23" t="s">
        <v>831</v>
      </c>
      <c r="C90" s="23" t="s">
        <v>832</v>
      </c>
      <c r="D90" s="23" t="s">
        <v>830</v>
      </c>
      <c r="E90" s="47">
        <v>312.0</v>
      </c>
    </row>
    <row r="91">
      <c r="A91" s="23" t="s">
        <v>833</v>
      </c>
      <c r="B91" s="23" t="s">
        <v>834</v>
      </c>
      <c r="C91" s="23" t="s">
        <v>835</v>
      </c>
      <c r="D91" s="23" t="s">
        <v>833</v>
      </c>
      <c r="E91" s="47">
        <v>316.0</v>
      </c>
    </row>
    <row r="92">
      <c r="A92" s="23" t="s">
        <v>211</v>
      </c>
      <c r="B92" s="23" t="s">
        <v>212</v>
      </c>
      <c r="C92" s="23" t="s">
        <v>213</v>
      </c>
      <c r="D92" s="23" t="s">
        <v>211</v>
      </c>
      <c r="E92" s="47">
        <v>320.0</v>
      </c>
    </row>
    <row r="93">
      <c r="A93" s="23" t="s">
        <v>836</v>
      </c>
      <c r="B93" s="23" t="s">
        <v>837</v>
      </c>
      <c r="C93" s="23" t="s">
        <v>838</v>
      </c>
      <c r="D93" s="23" t="s">
        <v>836</v>
      </c>
      <c r="E93" s="47">
        <v>831.0</v>
      </c>
    </row>
    <row r="94">
      <c r="A94" s="23" t="s">
        <v>214</v>
      </c>
      <c r="B94" s="23" t="s">
        <v>215</v>
      </c>
      <c r="C94" s="23" t="s">
        <v>216</v>
      </c>
      <c r="D94" s="23" t="s">
        <v>214</v>
      </c>
      <c r="E94" s="47">
        <v>324.0</v>
      </c>
    </row>
    <row r="95">
      <c r="A95" s="23" t="s">
        <v>217</v>
      </c>
      <c r="B95" s="23" t="s">
        <v>218</v>
      </c>
      <c r="C95" s="23" t="s">
        <v>219</v>
      </c>
      <c r="D95" s="23" t="s">
        <v>217</v>
      </c>
      <c r="E95" s="47">
        <v>624.0</v>
      </c>
    </row>
    <row r="96">
      <c r="A96" s="23" t="s">
        <v>220</v>
      </c>
      <c r="B96" s="23" t="s">
        <v>221</v>
      </c>
      <c r="C96" s="23" t="s">
        <v>222</v>
      </c>
      <c r="D96" s="23" t="s">
        <v>220</v>
      </c>
      <c r="E96" s="47">
        <v>328.0</v>
      </c>
    </row>
    <row r="97">
      <c r="A97" s="23" t="s">
        <v>223</v>
      </c>
      <c r="B97" s="23" t="s">
        <v>224</v>
      </c>
      <c r="C97" s="23" t="s">
        <v>225</v>
      </c>
      <c r="D97" s="23" t="s">
        <v>223</v>
      </c>
      <c r="E97" s="47">
        <v>332.0</v>
      </c>
    </row>
    <row r="98">
      <c r="A98" s="23" t="s">
        <v>839</v>
      </c>
      <c r="B98" s="23" t="s">
        <v>840</v>
      </c>
      <c r="C98" s="23" t="s">
        <v>841</v>
      </c>
      <c r="D98" s="23" t="s">
        <v>839</v>
      </c>
      <c r="E98" s="47">
        <v>334.0</v>
      </c>
    </row>
    <row r="99">
      <c r="A99" s="23" t="s">
        <v>226</v>
      </c>
      <c r="B99" s="23" t="s">
        <v>842</v>
      </c>
      <c r="C99" s="23" t="s">
        <v>228</v>
      </c>
      <c r="D99" s="23" t="s">
        <v>226</v>
      </c>
      <c r="E99" s="47">
        <v>336.0</v>
      </c>
    </row>
    <row r="100">
      <c r="A100" s="23" t="s">
        <v>229</v>
      </c>
      <c r="B100" s="23" t="s">
        <v>230</v>
      </c>
      <c r="C100" s="23" t="s">
        <v>231</v>
      </c>
      <c r="D100" s="23" t="s">
        <v>229</v>
      </c>
      <c r="E100" s="47">
        <v>340.0</v>
      </c>
    </row>
    <row r="101">
      <c r="A101" s="23" t="s">
        <v>843</v>
      </c>
      <c r="B101" s="23" t="s">
        <v>844</v>
      </c>
      <c r="C101" s="23" t="s">
        <v>845</v>
      </c>
      <c r="D101" s="23" t="s">
        <v>843</v>
      </c>
      <c r="E101" s="47">
        <v>344.0</v>
      </c>
    </row>
    <row r="102">
      <c r="A102" s="23" t="s">
        <v>232</v>
      </c>
      <c r="B102" s="23" t="s">
        <v>233</v>
      </c>
      <c r="C102" s="23" t="s">
        <v>234</v>
      </c>
      <c r="D102" s="23" t="s">
        <v>232</v>
      </c>
      <c r="E102" s="47">
        <v>348.0</v>
      </c>
    </row>
    <row r="103">
      <c r="A103" s="23" t="s">
        <v>235</v>
      </c>
      <c r="B103" s="23" t="s">
        <v>236</v>
      </c>
      <c r="C103" s="23" t="s">
        <v>237</v>
      </c>
      <c r="D103" s="23" t="s">
        <v>235</v>
      </c>
      <c r="E103" s="47">
        <v>352.0</v>
      </c>
    </row>
    <row r="104">
      <c r="A104" s="23" t="s">
        <v>238</v>
      </c>
      <c r="B104" s="23" t="s">
        <v>239</v>
      </c>
      <c r="C104" s="23" t="s">
        <v>240</v>
      </c>
      <c r="D104" s="23" t="s">
        <v>238</v>
      </c>
      <c r="E104" s="47">
        <v>356.0</v>
      </c>
    </row>
    <row r="105">
      <c r="A105" s="23" t="s">
        <v>241</v>
      </c>
      <c r="B105" s="23" t="s">
        <v>242</v>
      </c>
      <c r="C105" s="23" t="s">
        <v>243</v>
      </c>
      <c r="D105" s="23" t="s">
        <v>241</v>
      </c>
      <c r="E105" s="47">
        <v>360.0</v>
      </c>
    </row>
    <row r="106">
      <c r="A106" s="23" t="s">
        <v>244</v>
      </c>
      <c r="B106" s="23" t="s">
        <v>245</v>
      </c>
      <c r="C106" s="23" t="s">
        <v>246</v>
      </c>
      <c r="D106" s="23" t="s">
        <v>244</v>
      </c>
      <c r="E106" s="47">
        <v>364.0</v>
      </c>
    </row>
    <row r="107">
      <c r="A107" s="23" t="s">
        <v>247</v>
      </c>
      <c r="B107" s="23" t="s">
        <v>248</v>
      </c>
      <c r="C107" s="23" t="s">
        <v>249</v>
      </c>
      <c r="D107" s="23" t="s">
        <v>247</v>
      </c>
      <c r="E107" s="47">
        <v>368.0</v>
      </c>
    </row>
    <row r="108">
      <c r="A108" s="23" t="s">
        <v>250</v>
      </c>
      <c r="B108" s="23" t="s">
        <v>251</v>
      </c>
      <c r="C108" s="23" t="s">
        <v>252</v>
      </c>
      <c r="D108" s="23" t="s">
        <v>250</v>
      </c>
      <c r="E108" s="47">
        <v>372.0</v>
      </c>
    </row>
    <row r="109">
      <c r="A109" s="23" t="s">
        <v>846</v>
      </c>
      <c r="B109" s="23" t="s">
        <v>847</v>
      </c>
      <c r="C109" s="23" t="s">
        <v>848</v>
      </c>
      <c r="D109" s="23" t="s">
        <v>846</v>
      </c>
      <c r="E109" s="47">
        <v>833.0</v>
      </c>
    </row>
    <row r="110">
      <c r="A110" s="23" t="s">
        <v>253</v>
      </c>
      <c r="B110" s="23" t="s">
        <v>254</v>
      </c>
      <c r="C110" s="23" t="s">
        <v>255</v>
      </c>
      <c r="D110" s="23" t="s">
        <v>253</v>
      </c>
      <c r="E110" s="47">
        <v>376.0</v>
      </c>
    </row>
    <row r="111">
      <c r="A111" s="23" t="s">
        <v>256</v>
      </c>
      <c r="B111" s="23" t="s">
        <v>257</v>
      </c>
      <c r="C111" s="23" t="s">
        <v>258</v>
      </c>
      <c r="D111" s="23" t="s">
        <v>256</v>
      </c>
      <c r="E111" s="47">
        <v>380.0</v>
      </c>
    </row>
    <row r="112">
      <c r="A112" s="23" t="s">
        <v>259</v>
      </c>
      <c r="B112" s="23" t="s">
        <v>260</v>
      </c>
      <c r="C112" s="23" t="s">
        <v>261</v>
      </c>
      <c r="D112" s="23" t="s">
        <v>259</v>
      </c>
      <c r="E112" s="47">
        <v>388.0</v>
      </c>
    </row>
    <row r="113">
      <c r="A113" s="23" t="s">
        <v>262</v>
      </c>
      <c r="B113" s="23" t="s">
        <v>263</v>
      </c>
      <c r="C113" s="23" t="s">
        <v>264</v>
      </c>
      <c r="D113" s="23" t="s">
        <v>262</v>
      </c>
      <c r="E113" s="47">
        <v>392.0</v>
      </c>
    </row>
    <row r="114">
      <c r="A114" s="23" t="s">
        <v>849</v>
      </c>
      <c r="B114" s="23" t="s">
        <v>850</v>
      </c>
      <c r="C114" s="23" t="s">
        <v>851</v>
      </c>
      <c r="D114" s="23" t="s">
        <v>849</v>
      </c>
      <c r="E114" s="47">
        <v>832.0</v>
      </c>
    </row>
    <row r="115">
      <c r="A115" s="23" t="s">
        <v>265</v>
      </c>
      <c r="B115" s="23" t="s">
        <v>266</v>
      </c>
      <c r="C115" s="23" t="s">
        <v>267</v>
      </c>
      <c r="D115" s="23" t="s">
        <v>265</v>
      </c>
      <c r="E115" s="47">
        <v>400.0</v>
      </c>
    </row>
    <row r="116">
      <c r="A116" s="23" t="s">
        <v>268</v>
      </c>
      <c r="B116" s="23" t="s">
        <v>269</v>
      </c>
      <c r="C116" s="23" t="s">
        <v>270</v>
      </c>
      <c r="D116" s="23" t="s">
        <v>268</v>
      </c>
      <c r="E116" s="47">
        <v>398.0</v>
      </c>
    </row>
    <row r="117">
      <c r="A117" s="23" t="s">
        <v>271</v>
      </c>
      <c r="B117" s="23" t="s">
        <v>272</v>
      </c>
      <c r="C117" s="23" t="s">
        <v>273</v>
      </c>
      <c r="D117" s="23" t="s">
        <v>271</v>
      </c>
      <c r="E117" s="47">
        <v>404.0</v>
      </c>
    </row>
    <row r="118">
      <c r="A118" s="23" t="s">
        <v>274</v>
      </c>
      <c r="B118" s="23" t="s">
        <v>275</v>
      </c>
      <c r="C118" s="23" t="s">
        <v>276</v>
      </c>
      <c r="D118" s="23" t="s">
        <v>274</v>
      </c>
      <c r="E118" s="47">
        <v>296.0</v>
      </c>
    </row>
    <row r="119">
      <c r="A119" s="23" t="s">
        <v>277</v>
      </c>
      <c r="B119" s="23" t="s">
        <v>852</v>
      </c>
      <c r="C119" s="23" t="s">
        <v>279</v>
      </c>
      <c r="D119" s="23" t="s">
        <v>277</v>
      </c>
      <c r="E119" s="47">
        <v>408.0</v>
      </c>
    </row>
    <row r="120">
      <c r="A120" s="23" t="s">
        <v>280</v>
      </c>
      <c r="B120" s="23" t="s">
        <v>853</v>
      </c>
      <c r="C120" s="23" t="s">
        <v>282</v>
      </c>
      <c r="D120" s="23" t="s">
        <v>280</v>
      </c>
      <c r="E120" s="47">
        <v>410.0</v>
      </c>
    </row>
    <row r="121">
      <c r="A121" s="23" t="s">
        <v>283</v>
      </c>
      <c r="B121" s="23" t="s">
        <v>284</v>
      </c>
      <c r="C121" s="23" t="s">
        <v>285</v>
      </c>
      <c r="D121" s="23" t="s">
        <v>283</v>
      </c>
      <c r="E121" s="47">
        <v>414.0</v>
      </c>
    </row>
    <row r="122">
      <c r="A122" s="23" t="s">
        <v>286</v>
      </c>
      <c r="B122" s="23" t="s">
        <v>287</v>
      </c>
      <c r="C122" s="23" t="s">
        <v>288</v>
      </c>
      <c r="D122" s="23" t="s">
        <v>286</v>
      </c>
      <c r="E122" s="47">
        <v>417.0</v>
      </c>
    </row>
    <row r="123">
      <c r="A123" s="23" t="s">
        <v>289</v>
      </c>
      <c r="B123" s="23" t="s">
        <v>290</v>
      </c>
      <c r="C123" s="23" t="s">
        <v>291</v>
      </c>
      <c r="D123" s="23" t="s">
        <v>289</v>
      </c>
      <c r="E123" s="47">
        <v>418.0</v>
      </c>
    </row>
    <row r="124">
      <c r="A124" s="23" t="s">
        <v>292</v>
      </c>
      <c r="B124" s="23" t="s">
        <v>293</v>
      </c>
      <c r="C124" s="23" t="s">
        <v>294</v>
      </c>
      <c r="D124" s="23" t="s">
        <v>292</v>
      </c>
      <c r="E124" s="47">
        <v>428.0</v>
      </c>
    </row>
    <row r="125">
      <c r="A125" s="23" t="s">
        <v>295</v>
      </c>
      <c r="B125" s="23" t="s">
        <v>296</v>
      </c>
      <c r="C125" s="23" t="s">
        <v>297</v>
      </c>
      <c r="D125" s="23" t="s">
        <v>295</v>
      </c>
      <c r="E125" s="47">
        <v>422.0</v>
      </c>
    </row>
    <row r="126">
      <c r="A126" s="23" t="s">
        <v>298</v>
      </c>
      <c r="B126" s="23" t="s">
        <v>299</v>
      </c>
      <c r="C126" s="23" t="s">
        <v>300</v>
      </c>
      <c r="D126" s="23" t="s">
        <v>298</v>
      </c>
      <c r="E126" s="47">
        <v>426.0</v>
      </c>
    </row>
    <row r="127">
      <c r="A127" s="23" t="s">
        <v>301</v>
      </c>
      <c r="B127" s="23" t="s">
        <v>302</v>
      </c>
      <c r="C127" s="23" t="s">
        <v>303</v>
      </c>
      <c r="D127" s="23" t="s">
        <v>301</v>
      </c>
      <c r="E127" s="47">
        <v>430.0</v>
      </c>
    </row>
    <row r="128">
      <c r="A128" s="23" t="s">
        <v>304</v>
      </c>
      <c r="B128" s="23" t="s">
        <v>305</v>
      </c>
      <c r="C128" s="23" t="s">
        <v>306</v>
      </c>
      <c r="D128" s="23" t="s">
        <v>304</v>
      </c>
      <c r="E128" s="47">
        <v>434.0</v>
      </c>
    </row>
    <row r="129">
      <c r="A129" s="23" t="s">
        <v>514</v>
      </c>
      <c r="B129" s="23" t="s">
        <v>515</v>
      </c>
      <c r="C129" s="23" t="s">
        <v>516</v>
      </c>
      <c r="D129" s="23" t="s">
        <v>514</v>
      </c>
      <c r="E129" s="47">
        <v>438.0</v>
      </c>
    </row>
    <row r="130">
      <c r="A130" s="23" t="s">
        <v>307</v>
      </c>
      <c r="B130" s="23" t="s">
        <v>308</v>
      </c>
      <c r="C130" s="23" t="s">
        <v>309</v>
      </c>
      <c r="D130" s="23" t="s">
        <v>307</v>
      </c>
      <c r="E130" s="47">
        <v>440.0</v>
      </c>
    </row>
    <row r="131">
      <c r="A131" s="23" t="s">
        <v>310</v>
      </c>
      <c r="B131" s="23" t="s">
        <v>311</v>
      </c>
      <c r="C131" s="23" t="s">
        <v>312</v>
      </c>
      <c r="D131" s="23" t="s">
        <v>310</v>
      </c>
      <c r="E131" s="47">
        <v>442.0</v>
      </c>
    </row>
    <row r="132">
      <c r="A132" s="23" t="s">
        <v>854</v>
      </c>
      <c r="B132" s="23" t="s">
        <v>855</v>
      </c>
      <c r="C132" s="23" t="s">
        <v>856</v>
      </c>
      <c r="D132" s="23" t="s">
        <v>854</v>
      </c>
      <c r="E132" s="47">
        <v>446.0</v>
      </c>
    </row>
    <row r="133">
      <c r="A133" s="23" t="s">
        <v>313</v>
      </c>
      <c r="B133" s="23" t="s">
        <v>314</v>
      </c>
      <c r="C133" s="23" t="s">
        <v>315</v>
      </c>
      <c r="D133" s="23" t="s">
        <v>313</v>
      </c>
      <c r="E133" s="47">
        <v>450.0</v>
      </c>
    </row>
    <row r="134">
      <c r="A134" s="23" t="s">
        <v>316</v>
      </c>
      <c r="B134" s="23" t="s">
        <v>317</v>
      </c>
      <c r="C134" s="23" t="s">
        <v>318</v>
      </c>
      <c r="D134" s="23" t="s">
        <v>316</v>
      </c>
      <c r="E134" s="47">
        <v>454.0</v>
      </c>
    </row>
    <row r="135">
      <c r="A135" s="23" t="s">
        <v>319</v>
      </c>
      <c r="B135" s="23" t="s">
        <v>320</v>
      </c>
      <c r="C135" s="23" t="s">
        <v>321</v>
      </c>
      <c r="D135" s="23" t="s">
        <v>319</v>
      </c>
      <c r="E135" s="47">
        <v>458.0</v>
      </c>
    </row>
    <row r="136">
      <c r="A136" s="23" t="s">
        <v>322</v>
      </c>
      <c r="B136" s="23" t="s">
        <v>323</v>
      </c>
      <c r="C136" s="23" t="s">
        <v>324</v>
      </c>
      <c r="D136" s="23" t="s">
        <v>322</v>
      </c>
      <c r="E136" s="47">
        <v>462.0</v>
      </c>
    </row>
    <row r="137">
      <c r="A137" s="23" t="s">
        <v>325</v>
      </c>
      <c r="B137" s="23" t="s">
        <v>326</v>
      </c>
      <c r="C137" s="23" t="s">
        <v>327</v>
      </c>
      <c r="D137" s="23" t="s">
        <v>325</v>
      </c>
      <c r="E137" s="47">
        <v>466.0</v>
      </c>
    </row>
    <row r="138">
      <c r="A138" s="23" t="s">
        <v>328</v>
      </c>
      <c r="B138" s="23" t="s">
        <v>329</v>
      </c>
      <c r="C138" s="23" t="s">
        <v>330</v>
      </c>
      <c r="D138" s="23" t="s">
        <v>328</v>
      </c>
      <c r="E138" s="47">
        <v>470.0</v>
      </c>
    </row>
    <row r="139">
      <c r="A139" s="23" t="s">
        <v>331</v>
      </c>
      <c r="B139" s="23" t="s">
        <v>332</v>
      </c>
      <c r="C139" s="23" t="s">
        <v>333</v>
      </c>
      <c r="D139" s="23" t="s">
        <v>331</v>
      </c>
      <c r="E139" s="47">
        <v>584.0</v>
      </c>
    </row>
    <row r="140">
      <c r="A140" s="23" t="s">
        <v>857</v>
      </c>
      <c r="B140" s="23" t="s">
        <v>858</v>
      </c>
      <c r="C140" s="23" t="s">
        <v>859</v>
      </c>
      <c r="D140" s="23" t="s">
        <v>857</v>
      </c>
      <c r="E140" s="47">
        <v>474.0</v>
      </c>
    </row>
    <row r="141">
      <c r="A141" s="23" t="s">
        <v>334</v>
      </c>
      <c r="B141" s="23" t="s">
        <v>335</v>
      </c>
      <c r="C141" s="23" t="s">
        <v>336</v>
      </c>
      <c r="D141" s="23" t="s">
        <v>334</v>
      </c>
      <c r="E141" s="47">
        <v>478.0</v>
      </c>
    </row>
    <row r="142">
      <c r="A142" s="23" t="s">
        <v>337</v>
      </c>
      <c r="B142" s="23" t="s">
        <v>338</v>
      </c>
      <c r="C142" s="23" t="s">
        <v>339</v>
      </c>
      <c r="D142" s="23" t="s">
        <v>337</v>
      </c>
      <c r="E142" s="47">
        <v>480.0</v>
      </c>
    </row>
    <row r="143">
      <c r="A143" s="23" t="s">
        <v>860</v>
      </c>
      <c r="B143" s="23" t="s">
        <v>861</v>
      </c>
      <c r="C143" s="23" t="s">
        <v>862</v>
      </c>
      <c r="D143" s="23" t="s">
        <v>860</v>
      </c>
      <c r="E143" s="47">
        <v>175.0</v>
      </c>
    </row>
    <row r="144">
      <c r="A144" s="23" t="s">
        <v>340</v>
      </c>
      <c r="B144" s="23" t="s">
        <v>341</v>
      </c>
      <c r="C144" s="23" t="s">
        <v>342</v>
      </c>
      <c r="D144" s="23" t="s">
        <v>340</v>
      </c>
      <c r="E144" s="47">
        <v>484.0</v>
      </c>
    </row>
    <row r="145">
      <c r="A145" s="23" t="s">
        <v>343</v>
      </c>
      <c r="B145" s="23" t="s">
        <v>344</v>
      </c>
      <c r="C145" s="23" t="s">
        <v>345</v>
      </c>
      <c r="D145" s="23" t="s">
        <v>343</v>
      </c>
      <c r="E145" s="47">
        <v>583.0</v>
      </c>
    </row>
    <row r="146">
      <c r="A146" s="23" t="s">
        <v>346</v>
      </c>
      <c r="B146" s="23" t="s">
        <v>863</v>
      </c>
      <c r="C146" s="23" t="s">
        <v>348</v>
      </c>
      <c r="D146" s="23" t="s">
        <v>346</v>
      </c>
      <c r="E146" s="47">
        <v>498.0</v>
      </c>
    </row>
    <row r="147">
      <c r="A147" s="23" t="s">
        <v>349</v>
      </c>
      <c r="B147" s="23" t="s">
        <v>350</v>
      </c>
      <c r="C147" s="23" t="s">
        <v>351</v>
      </c>
      <c r="D147" s="23" t="s">
        <v>349</v>
      </c>
      <c r="E147" s="47">
        <v>492.0</v>
      </c>
    </row>
    <row r="148">
      <c r="A148" s="23" t="s">
        <v>352</v>
      </c>
      <c r="B148" s="23" t="s">
        <v>353</v>
      </c>
      <c r="C148" s="23" t="s">
        <v>354</v>
      </c>
      <c r="D148" s="23" t="s">
        <v>352</v>
      </c>
      <c r="E148" s="47">
        <v>496.0</v>
      </c>
    </row>
    <row r="149">
      <c r="A149" s="23" t="s">
        <v>355</v>
      </c>
      <c r="B149" s="23" t="s">
        <v>356</v>
      </c>
      <c r="C149" s="23" t="s">
        <v>357</v>
      </c>
      <c r="D149" s="23" t="s">
        <v>355</v>
      </c>
      <c r="E149" s="47">
        <v>499.0</v>
      </c>
    </row>
    <row r="150">
      <c r="A150" s="23" t="s">
        <v>864</v>
      </c>
      <c r="B150" s="23" t="s">
        <v>865</v>
      </c>
      <c r="C150" s="23" t="s">
        <v>866</v>
      </c>
      <c r="D150" s="23" t="s">
        <v>864</v>
      </c>
      <c r="E150" s="47">
        <v>500.0</v>
      </c>
    </row>
    <row r="151">
      <c r="A151" s="23" t="s">
        <v>358</v>
      </c>
      <c r="B151" s="23" t="s">
        <v>359</v>
      </c>
      <c r="C151" s="23" t="s">
        <v>360</v>
      </c>
      <c r="D151" s="23" t="s">
        <v>358</v>
      </c>
      <c r="E151" s="47">
        <v>504.0</v>
      </c>
    </row>
    <row r="152">
      <c r="A152" s="23" t="s">
        <v>361</v>
      </c>
      <c r="B152" s="23" t="s">
        <v>362</v>
      </c>
      <c r="C152" s="23" t="s">
        <v>363</v>
      </c>
      <c r="D152" s="23" t="s">
        <v>361</v>
      </c>
      <c r="E152" s="47">
        <v>508.0</v>
      </c>
    </row>
    <row r="153">
      <c r="A153" s="23" t="s">
        <v>364</v>
      </c>
      <c r="B153" s="23" t="s">
        <v>365</v>
      </c>
      <c r="C153" s="23" t="s">
        <v>366</v>
      </c>
      <c r="D153" s="23" t="s">
        <v>364</v>
      </c>
      <c r="E153" s="47">
        <v>104.0</v>
      </c>
    </row>
    <row r="154">
      <c r="A154" s="23" t="s">
        <v>367</v>
      </c>
      <c r="B154" s="23" t="s">
        <v>368</v>
      </c>
      <c r="C154" s="23" t="s">
        <v>369</v>
      </c>
      <c r="D154" s="23" t="s">
        <v>367</v>
      </c>
      <c r="E154" s="47">
        <v>516.0</v>
      </c>
    </row>
    <row r="155">
      <c r="A155" s="23" t="s">
        <v>370</v>
      </c>
      <c r="B155" s="23" t="s">
        <v>371</v>
      </c>
      <c r="C155" s="23" t="s">
        <v>372</v>
      </c>
      <c r="D155" s="23" t="s">
        <v>370</v>
      </c>
      <c r="E155" s="47">
        <v>520.0</v>
      </c>
    </row>
    <row r="156">
      <c r="A156" s="23" t="s">
        <v>373</v>
      </c>
      <c r="B156" s="23" t="s">
        <v>374</v>
      </c>
      <c r="C156" s="23" t="s">
        <v>375</v>
      </c>
      <c r="D156" s="23" t="s">
        <v>373</v>
      </c>
      <c r="E156" s="47">
        <v>524.0</v>
      </c>
    </row>
    <row r="157">
      <c r="A157" s="23" t="s">
        <v>376</v>
      </c>
      <c r="B157" s="23" t="s">
        <v>867</v>
      </c>
      <c r="C157" s="23" t="s">
        <v>378</v>
      </c>
      <c r="D157" s="23" t="s">
        <v>376</v>
      </c>
      <c r="E157" s="47">
        <v>528.0</v>
      </c>
    </row>
    <row r="158">
      <c r="A158" s="23" t="s">
        <v>868</v>
      </c>
      <c r="B158" s="23" t="s">
        <v>869</v>
      </c>
      <c r="C158" s="23" t="s">
        <v>870</v>
      </c>
      <c r="D158" s="23" t="s">
        <v>868</v>
      </c>
      <c r="E158" s="47">
        <v>540.0</v>
      </c>
    </row>
    <row r="159">
      <c r="A159" s="23" t="s">
        <v>379</v>
      </c>
      <c r="B159" s="23" t="s">
        <v>380</v>
      </c>
      <c r="C159" s="23" t="s">
        <v>381</v>
      </c>
      <c r="D159" s="23" t="s">
        <v>379</v>
      </c>
      <c r="E159" s="47">
        <v>554.0</v>
      </c>
    </row>
    <row r="160">
      <c r="A160" s="23" t="s">
        <v>382</v>
      </c>
      <c r="B160" s="23" t="s">
        <v>383</v>
      </c>
      <c r="C160" s="23" t="s">
        <v>384</v>
      </c>
      <c r="D160" s="23" t="s">
        <v>382</v>
      </c>
      <c r="E160" s="47">
        <v>558.0</v>
      </c>
    </row>
    <row r="161">
      <c r="A161" s="23" t="s">
        <v>385</v>
      </c>
      <c r="B161" s="23" t="s">
        <v>386</v>
      </c>
      <c r="C161" s="23" t="s">
        <v>387</v>
      </c>
      <c r="D161" s="23" t="s">
        <v>385</v>
      </c>
      <c r="E161" s="47">
        <v>562.0</v>
      </c>
    </row>
    <row r="162">
      <c r="A162" s="23" t="s">
        <v>388</v>
      </c>
      <c r="B162" s="23" t="s">
        <v>389</v>
      </c>
      <c r="C162" s="23" t="s">
        <v>390</v>
      </c>
      <c r="D162" s="23" t="s">
        <v>388</v>
      </c>
      <c r="E162" s="47">
        <v>566.0</v>
      </c>
    </row>
    <row r="163">
      <c r="A163" s="23" t="s">
        <v>871</v>
      </c>
      <c r="B163" s="23" t="s">
        <v>872</v>
      </c>
      <c r="C163" s="23" t="s">
        <v>873</v>
      </c>
      <c r="D163" s="23" t="s">
        <v>871</v>
      </c>
      <c r="E163" s="47">
        <v>570.0</v>
      </c>
    </row>
    <row r="164">
      <c r="A164" s="23" t="s">
        <v>874</v>
      </c>
      <c r="B164" s="23" t="s">
        <v>875</v>
      </c>
      <c r="C164" s="23" t="s">
        <v>876</v>
      </c>
      <c r="D164" s="23" t="s">
        <v>874</v>
      </c>
      <c r="E164" s="47">
        <v>574.0</v>
      </c>
    </row>
    <row r="165">
      <c r="A165" s="23" t="s">
        <v>877</v>
      </c>
      <c r="B165" s="23" t="s">
        <v>878</v>
      </c>
      <c r="C165" s="23" t="s">
        <v>879</v>
      </c>
      <c r="D165" s="23" t="s">
        <v>877</v>
      </c>
      <c r="E165" s="47">
        <v>580.0</v>
      </c>
    </row>
    <row r="166">
      <c r="A166" s="23" t="s">
        <v>394</v>
      </c>
      <c r="B166" s="23" t="s">
        <v>395</v>
      </c>
      <c r="C166" s="23" t="s">
        <v>396</v>
      </c>
      <c r="D166" s="23" t="s">
        <v>394</v>
      </c>
      <c r="E166" s="47">
        <v>578.0</v>
      </c>
    </row>
    <row r="167">
      <c r="A167" s="23" t="s">
        <v>397</v>
      </c>
      <c r="B167" s="23" t="s">
        <v>398</v>
      </c>
      <c r="C167" s="23" t="s">
        <v>399</v>
      </c>
      <c r="D167" s="23" t="s">
        <v>397</v>
      </c>
      <c r="E167" s="47">
        <v>512.0</v>
      </c>
    </row>
    <row r="168">
      <c r="A168" s="23" t="s">
        <v>400</v>
      </c>
      <c r="B168" s="23" t="s">
        <v>401</v>
      </c>
      <c r="C168" s="23" t="s">
        <v>402</v>
      </c>
      <c r="D168" s="23" t="s">
        <v>400</v>
      </c>
      <c r="E168" s="47">
        <v>586.0</v>
      </c>
    </row>
    <row r="169">
      <c r="A169" s="23" t="s">
        <v>403</v>
      </c>
      <c r="B169" s="23" t="s">
        <v>404</v>
      </c>
      <c r="C169" s="23" t="s">
        <v>405</v>
      </c>
      <c r="D169" s="23" t="s">
        <v>403</v>
      </c>
      <c r="E169" s="47">
        <v>585.0</v>
      </c>
    </row>
    <row r="170">
      <c r="A170" s="23" t="s">
        <v>499</v>
      </c>
      <c r="B170" s="23" t="s">
        <v>880</v>
      </c>
      <c r="C170" s="23" t="s">
        <v>501</v>
      </c>
      <c r="D170" s="23" t="s">
        <v>499</v>
      </c>
      <c r="E170" s="47">
        <v>275.0</v>
      </c>
    </row>
    <row r="171">
      <c r="A171" s="23" t="s">
        <v>406</v>
      </c>
      <c r="B171" s="23" t="s">
        <v>407</v>
      </c>
      <c r="C171" s="23" t="s">
        <v>408</v>
      </c>
      <c r="D171" s="23" t="s">
        <v>406</v>
      </c>
      <c r="E171" s="47">
        <v>591.0</v>
      </c>
    </row>
    <row r="172">
      <c r="A172" s="23" t="s">
        <v>409</v>
      </c>
      <c r="B172" s="23" t="s">
        <v>410</v>
      </c>
      <c r="C172" s="23" t="s">
        <v>411</v>
      </c>
      <c r="D172" s="23" t="s">
        <v>409</v>
      </c>
      <c r="E172" s="47">
        <v>598.0</v>
      </c>
    </row>
    <row r="173">
      <c r="A173" s="23" t="s">
        <v>412</v>
      </c>
      <c r="B173" s="23" t="s">
        <v>413</v>
      </c>
      <c r="C173" s="23" t="s">
        <v>414</v>
      </c>
      <c r="D173" s="23" t="s">
        <v>412</v>
      </c>
      <c r="E173" s="47">
        <v>600.0</v>
      </c>
    </row>
    <row r="174">
      <c r="A174" s="23" t="s">
        <v>415</v>
      </c>
      <c r="B174" s="23" t="s">
        <v>416</v>
      </c>
      <c r="C174" s="23" t="s">
        <v>417</v>
      </c>
      <c r="D174" s="23" t="s">
        <v>415</v>
      </c>
      <c r="E174" s="47">
        <v>604.0</v>
      </c>
    </row>
    <row r="175">
      <c r="A175" s="23" t="s">
        <v>418</v>
      </c>
      <c r="B175" s="23" t="s">
        <v>419</v>
      </c>
      <c r="C175" s="23" t="s">
        <v>420</v>
      </c>
      <c r="D175" s="23" t="s">
        <v>418</v>
      </c>
      <c r="E175" s="47">
        <v>608.0</v>
      </c>
    </row>
    <row r="176">
      <c r="A176" s="23" t="s">
        <v>881</v>
      </c>
      <c r="B176" s="23" t="s">
        <v>882</v>
      </c>
      <c r="C176" s="23" t="s">
        <v>883</v>
      </c>
      <c r="D176" s="23" t="s">
        <v>881</v>
      </c>
      <c r="E176" s="47">
        <v>612.0</v>
      </c>
    </row>
    <row r="177">
      <c r="A177" s="23" t="s">
        <v>421</v>
      </c>
      <c r="B177" s="23" t="s">
        <v>422</v>
      </c>
      <c r="C177" s="23" t="s">
        <v>423</v>
      </c>
      <c r="D177" s="23" t="s">
        <v>421</v>
      </c>
      <c r="E177" s="47">
        <v>616.0</v>
      </c>
    </row>
    <row r="178">
      <c r="A178" s="23" t="s">
        <v>424</v>
      </c>
      <c r="B178" s="23" t="s">
        <v>425</v>
      </c>
      <c r="C178" s="23" t="s">
        <v>426</v>
      </c>
      <c r="D178" s="23" t="s">
        <v>424</v>
      </c>
      <c r="E178" s="47">
        <v>620.0</v>
      </c>
    </row>
    <row r="179">
      <c r="A179" s="23" t="s">
        <v>884</v>
      </c>
      <c r="B179" s="23" t="s">
        <v>885</v>
      </c>
      <c r="C179" s="23" t="s">
        <v>886</v>
      </c>
      <c r="D179" s="23" t="s">
        <v>884</v>
      </c>
      <c r="E179" s="47">
        <v>630.0</v>
      </c>
    </row>
    <row r="180">
      <c r="A180" s="23" t="s">
        <v>427</v>
      </c>
      <c r="B180" s="23" t="s">
        <v>428</v>
      </c>
      <c r="C180" s="23" t="s">
        <v>429</v>
      </c>
      <c r="D180" s="23" t="s">
        <v>427</v>
      </c>
      <c r="E180" s="47">
        <v>634.0</v>
      </c>
    </row>
    <row r="181">
      <c r="A181" s="23" t="s">
        <v>391</v>
      </c>
      <c r="B181" s="23" t="s">
        <v>887</v>
      </c>
      <c r="C181" s="23" t="s">
        <v>393</v>
      </c>
      <c r="D181" s="23" t="s">
        <v>391</v>
      </c>
      <c r="E181" s="47">
        <v>807.0</v>
      </c>
    </row>
    <row r="182">
      <c r="A182" s="23" t="s">
        <v>430</v>
      </c>
      <c r="B182" s="23" t="s">
        <v>431</v>
      </c>
      <c r="C182" s="23" t="s">
        <v>432</v>
      </c>
      <c r="D182" s="23" t="s">
        <v>430</v>
      </c>
      <c r="E182" s="47">
        <v>642.0</v>
      </c>
    </row>
    <row r="183">
      <c r="A183" s="23" t="s">
        <v>433</v>
      </c>
      <c r="B183" s="23" t="s">
        <v>434</v>
      </c>
      <c r="C183" s="23" t="s">
        <v>435</v>
      </c>
      <c r="D183" s="23" t="s">
        <v>433</v>
      </c>
      <c r="E183" s="47">
        <v>643.0</v>
      </c>
    </row>
    <row r="184">
      <c r="A184" s="23" t="s">
        <v>436</v>
      </c>
      <c r="B184" s="23" t="s">
        <v>437</v>
      </c>
      <c r="C184" s="23" t="s">
        <v>438</v>
      </c>
      <c r="D184" s="23" t="s">
        <v>436</v>
      </c>
      <c r="E184" s="47">
        <v>646.0</v>
      </c>
    </row>
    <row r="185">
      <c r="A185" s="23" t="s">
        <v>888</v>
      </c>
      <c r="B185" s="23" t="s">
        <v>889</v>
      </c>
      <c r="C185" s="23" t="s">
        <v>890</v>
      </c>
      <c r="D185" s="23" t="s">
        <v>888</v>
      </c>
      <c r="E185" s="47">
        <v>638.0</v>
      </c>
    </row>
    <row r="186">
      <c r="A186" s="23" t="s">
        <v>891</v>
      </c>
      <c r="B186" s="23" t="s">
        <v>892</v>
      </c>
      <c r="C186" s="23" t="s">
        <v>893</v>
      </c>
      <c r="D186" s="23" t="s">
        <v>891</v>
      </c>
      <c r="E186" s="47">
        <v>652.0</v>
      </c>
    </row>
    <row r="187">
      <c r="A187" s="23" t="s">
        <v>894</v>
      </c>
      <c r="B187" s="23" t="s">
        <v>895</v>
      </c>
      <c r="C187" s="23" t="s">
        <v>896</v>
      </c>
      <c r="D187" s="23" t="s">
        <v>894</v>
      </c>
      <c r="E187" s="47">
        <v>654.0</v>
      </c>
    </row>
    <row r="188">
      <c r="A188" s="23" t="s">
        <v>439</v>
      </c>
      <c r="B188" s="23" t="s">
        <v>440</v>
      </c>
      <c r="C188" s="23" t="s">
        <v>441</v>
      </c>
      <c r="D188" s="23" t="s">
        <v>439</v>
      </c>
      <c r="E188" s="47">
        <v>659.0</v>
      </c>
    </row>
    <row r="189">
      <c r="A189" s="23" t="s">
        <v>442</v>
      </c>
      <c r="B189" s="23" t="s">
        <v>443</v>
      </c>
      <c r="C189" s="23" t="s">
        <v>444</v>
      </c>
      <c r="D189" s="23" t="s">
        <v>442</v>
      </c>
      <c r="E189" s="47">
        <v>662.0</v>
      </c>
    </row>
    <row r="190">
      <c r="A190" s="23" t="s">
        <v>897</v>
      </c>
      <c r="B190" s="23" t="s">
        <v>898</v>
      </c>
      <c r="C190" s="23" t="s">
        <v>899</v>
      </c>
      <c r="D190" s="23" t="s">
        <v>897</v>
      </c>
      <c r="E190" s="47">
        <v>663.0</v>
      </c>
    </row>
    <row r="191">
      <c r="A191" s="23" t="s">
        <v>900</v>
      </c>
      <c r="B191" s="23" t="s">
        <v>901</v>
      </c>
      <c r="C191" s="23" t="s">
        <v>902</v>
      </c>
      <c r="D191" s="23" t="s">
        <v>900</v>
      </c>
      <c r="E191" s="47">
        <v>666.0</v>
      </c>
    </row>
    <row r="192">
      <c r="A192" s="23" t="s">
        <v>445</v>
      </c>
      <c r="B192" s="23" t="s">
        <v>446</v>
      </c>
      <c r="C192" s="23" t="s">
        <v>447</v>
      </c>
      <c r="D192" s="23" t="s">
        <v>445</v>
      </c>
      <c r="E192" s="47">
        <v>670.0</v>
      </c>
    </row>
    <row r="193">
      <c r="A193" s="23" t="s">
        <v>448</v>
      </c>
      <c r="B193" s="23" t="s">
        <v>449</v>
      </c>
      <c r="C193" s="23" t="s">
        <v>450</v>
      </c>
      <c r="D193" s="23" t="s">
        <v>448</v>
      </c>
      <c r="E193" s="47">
        <v>882.0</v>
      </c>
    </row>
    <row r="194">
      <c r="A194" s="23" t="s">
        <v>451</v>
      </c>
      <c r="B194" s="23" t="s">
        <v>452</v>
      </c>
      <c r="C194" s="23" t="s">
        <v>453</v>
      </c>
      <c r="D194" s="23" t="s">
        <v>451</v>
      </c>
      <c r="E194" s="47">
        <v>674.0</v>
      </c>
    </row>
    <row r="195">
      <c r="A195" s="23" t="s">
        <v>454</v>
      </c>
      <c r="B195" s="23" t="s">
        <v>455</v>
      </c>
      <c r="C195" s="23" t="s">
        <v>456</v>
      </c>
      <c r="D195" s="23" t="s">
        <v>454</v>
      </c>
      <c r="E195" s="47">
        <v>678.0</v>
      </c>
    </row>
    <row r="196">
      <c r="A196" s="23" t="s">
        <v>457</v>
      </c>
      <c r="B196" s="23" t="s">
        <v>458</v>
      </c>
      <c r="C196" s="23" t="s">
        <v>459</v>
      </c>
      <c r="D196" s="23" t="s">
        <v>457</v>
      </c>
      <c r="E196" s="47">
        <v>682.0</v>
      </c>
    </row>
    <row r="197">
      <c r="A197" s="23" t="s">
        <v>460</v>
      </c>
      <c r="B197" s="23" t="s">
        <v>461</v>
      </c>
      <c r="C197" s="23" t="s">
        <v>462</v>
      </c>
      <c r="D197" s="23" t="s">
        <v>460</v>
      </c>
      <c r="E197" s="47">
        <v>686.0</v>
      </c>
    </row>
    <row r="198">
      <c r="A198" s="23" t="s">
        <v>463</v>
      </c>
      <c r="B198" s="23" t="s">
        <v>464</v>
      </c>
      <c r="C198" s="23" t="s">
        <v>465</v>
      </c>
      <c r="D198" s="23" t="s">
        <v>463</v>
      </c>
      <c r="E198" s="47">
        <v>688.0</v>
      </c>
    </row>
    <row r="199">
      <c r="A199" s="23" t="s">
        <v>466</v>
      </c>
      <c r="B199" s="23" t="s">
        <v>467</v>
      </c>
      <c r="C199" s="23" t="s">
        <v>468</v>
      </c>
      <c r="D199" s="23" t="s">
        <v>466</v>
      </c>
      <c r="E199" s="47">
        <v>690.0</v>
      </c>
    </row>
    <row r="200">
      <c r="A200" s="23" t="s">
        <v>469</v>
      </c>
      <c r="B200" s="23" t="s">
        <v>470</v>
      </c>
      <c r="C200" s="23" t="s">
        <v>471</v>
      </c>
      <c r="D200" s="23" t="s">
        <v>469</v>
      </c>
      <c r="E200" s="47">
        <v>694.0</v>
      </c>
    </row>
    <row r="201">
      <c r="A201" s="23" t="s">
        <v>472</v>
      </c>
      <c r="B201" s="23" t="s">
        <v>473</v>
      </c>
      <c r="C201" s="23" t="s">
        <v>474</v>
      </c>
      <c r="D201" s="23" t="s">
        <v>472</v>
      </c>
      <c r="E201" s="47">
        <v>702.0</v>
      </c>
    </row>
    <row r="202">
      <c r="A202" s="23" t="s">
        <v>903</v>
      </c>
      <c r="B202" s="23" t="s">
        <v>904</v>
      </c>
      <c r="C202" s="23" t="s">
        <v>905</v>
      </c>
      <c r="D202" s="23" t="s">
        <v>903</v>
      </c>
      <c r="E202" s="47">
        <v>534.0</v>
      </c>
    </row>
    <row r="203">
      <c r="A203" s="23" t="s">
        <v>475</v>
      </c>
      <c r="B203" s="23" t="s">
        <v>476</v>
      </c>
      <c r="C203" s="23" t="s">
        <v>477</v>
      </c>
      <c r="D203" s="23" t="s">
        <v>475</v>
      </c>
      <c r="E203" s="47">
        <v>703.0</v>
      </c>
    </row>
    <row r="204">
      <c r="A204" s="23" t="s">
        <v>478</v>
      </c>
      <c r="B204" s="23" t="s">
        <v>479</v>
      </c>
      <c r="C204" s="23" t="s">
        <v>480</v>
      </c>
      <c r="D204" s="23" t="s">
        <v>478</v>
      </c>
      <c r="E204" s="47">
        <v>705.0</v>
      </c>
    </row>
    <row r="205">
      <c r="A205" s="23" t="s">
        <v>481</v>
      </c>
      <c r="B205" s="23" t="s">
        <v>482</v>
      </c>
      <c r="C205" s="23" t="s">
        <v>483</v>
      </c>
      <c r="D205" s="23" t="s">
        <v>481</v>
      </c>
      <c r="E205" s="47">
        <v>90.0</v>
      </c>
    </row>
    <row r="206">
      <c r="A206" s="23" t="s">
        <v>484</v>
      </c>
      <c r="B206" s="23" t="s">
        <v>485</v>
      </c>
      <c r="C206" s="23" t="s">
        <v>486</v>
      </c>
      <c r="D206" s="23" t="s">
        <v>484</v>
      </c>
      <c r="E206" s="47">
        <v>706.0</v>
      </c>
    </row>
    <row r="207">
      <c r="A207" s="23" t="s">
        <v>487</v>
      </c>
      <c r="B207" s="23" t="s">
        <v>488</v>
      </c>
      <c r="C207" s="23" t="s">
        <v>489</v>
      </c>
      <c r="D207" s="23" t="s">
        <v>487</v>
      </c>
      <c r="E207" s="47">
        <v>710.0</v>
      </c>
    </row>
    <row r="208">
      <c r="A208" s="23" t="s">
        <v>906</v>
      </c>
      <c r="B208" s="23" t="s">
        <v>907</v>
      </c>
      <c r="C208" s="23" t="s">
        <v>908</v>
      </c>
      <c r="D208" s="23" t="s">
        <v>906</v>
      </c>
      <c r="E208" s="47">
        <v>239.0</v>
      </c>
    </row>
    <row r="209">
      <c r="A209" s="23" t="s">
        <v>490</v>
      </c>
      <c r="B209" s="23" t="s">
        <v>491</v>
      </c>
      <c r="C209" s="23" t="s">
        <v>492</v>
      </c>
      <c r="D209" s="23" t="s">
        <v>490</v>
      </c>
      <c r="E209" s="47">
        <v>728.0</v>
      </c>
    </row>
    <row r="210">
      <c r="A210" s="23" t="s">
        <v>493</v>
      </c>
      <c r="B210" s="23" t="s">
        <v>494</v>
      </c>
      <c r="C210" s="23" t="s">
        <v>495</v>
      </c>
      <c r="D210" s="23" t="s">
        <v>493</v>
      </c>
      <c r="E210" s="47">
        <v>724.0</v>
      </c>
    </row>
    <row r="211">
      <c r="A211" s="23" t="s">
        <v>496</v>
      </c>
      <c r="B211" s="23" t="s">
        <v>497</v>
      </c>
      <c r="C211" s="23" t="s">
        <v>498</v>
      </c>
      <c r="D211" s="23" t="s">
        <v>496</v>
      </c>
      <c r="E211" s="47">
        <v>144.0</v>
      </c>
    </row>
    <row r="212">
      <c r="A212" s="23" t="s">
        <v>502</v>
      </c>
      <c r="B212" s="23" t="s">
        <v>503</v>
      </c>
      <c r="C212" s="23" t="s">
        <v>504</v>
      </c>
      <c r="D212" s="23" t="s">
        <v>502</v>
      </c>
      <c r="E212" s="47">
        <v>729.0</v>
      </c>
    </row>
    <row r="213">
      <c r="A213" s="23" t="s">
        <v>505</v>
      </c>
      <c r="B213" s="23" t="s">
        <v>506</v>
      </c>
      <c r="C213" s="23" t="s">
        <v>507</v>
      </c>
      <c r="D213" s="23" t="s">
        <v>505</v>
      </c>
      <c r="E213" s="47">
        <v>740.0</v>
      </c>
    </row>
    <row r="214">
      <c r="A214" s="23" t="s">
        <v>909</v>
      </c>
      <c r="B214" s="23" t="s">
        <v>910</v>
      </c>
      <c r="C214" s="23" t="s">
        <v>911</v>
      </c>
      <c r="D214" s="23" t="s">
        <v>909</v>
      </c>
      <c r="E214" s="47">
        <v>744.0</v>
      </c>
    </row>
    <row r="215">
      <c r="A215" s="23" t="s">
        <v>508</v>
      </c>
      <c r="B215" s="23" t="s">
        <v>509</v>
      </c>
      <c r="C215" s="23" t="s">
        <v>510</v>
      </c>
      <c r="D215" s="23" t="s">
        <v>508</v>
      </c>
      <c r="E215" s="47">
        <v>752.0</v>
      </c>
    </row>
    <row r="216">
      <c r="A216" s="23" t="s">
        <v>511</v>
      </c>
      <c r="B216" s="23" t="s">
        <v>912</v>
      </c>
      <c r="C216" s="23" t="s">
        <v>513</v>
      </c>
      <c r="D216" s="23" t="s">
        <v>511</v>
      </c>
      <c r="E216" s="47">
        <v>756.0</v>
      </c>
    </row>
    <row r="217">
      <c r="A217" s="23" t="s">
        <v>517</v>
      </c>
      <c r="B217" s="23" t="s">
        <v>913</v>
      </c>
      <c r="C217" s="23" t="s">
        <v>519</v>
      </c>
      <c r="D217" s="23" t="s">
        <v>517</v>
      </c>
      <c r="E217" s="47">
        <v>760.0</v>
      </c>
    </row>
    <row r="218">
      <c r="A218" s="23" t="s">
        <v>914</v>
      </c>
      <c r="B218" s="23" t="s">
        <v>915</v>
      </c>
      <c r="C218" s="23" t="s">
        <v>916</v>
      </c>
      <c r="D218" s="23" t="s">
        <v>914</v>
      </c>
      <c r="E218" s="47">
        <v>158.0</v>
      </c>
    </row>
    <row r="219">
      <c r="A219" s="23" t="s">
        <v>520</v>
      </c>
      <c r="B219" s="23" t="s">
        <v>521</v>
      </c>
      <c r="C219" s="23" t="s">
        <v>522</v>
      </c>
      <c r="D219" s="23" t="s">
        <v>520</v>
      </c>
      <c r="E219" s="47">
        <v>762.0</v>
      </c>
    </row>
    <row r="220">
      <c r="A220" s="23" t="s">
        <v>523</v>
      </c>
      <c r="B220" s="23" t="s">
        <v>917</v>
      </c>
      <c r="C220" s="23" t="s">
        <v>525</v>
      </c>
      <c r="D220" s="23" t="s">
        <v>523</v>
      </c>
      <c r="E220" s="47">
        <v>834.0</v>
      </c>
    </row>
    <row r="221">
      <c r="A221" s="23" t="s">
        <v>526</v>
      </c>
      <c r="B221" s="23" t="s">
        <v>527</v>
      </c>
      <c r="C221" s="23" t="s">
        <v>528</v>
      </c>
      <c r="D221" s="23" t="s">
        <v>526</v>
      </c>
      <c r="E221" s="47">
        <v>764.0</v>
      </c>
    </row>
    <row r="222">
      <c r="A222" s="23" t="s">
        <v>529</v>
      </c>
      <c r="B222" s="23" t="s">
        <v>530</v>
      </c>
      <c r="C222" s="23" t="s">
        <v>531</v>
      </c>
      <c r="D222" s="23" t="s">
        <v>529</v>
      </c>
      <c r="E222" s="47">
        <v>626.0</v>
      </c>
    </row>
    <row r="223">
      <c r="A223" s="23" t="s">
        <v>532</v>
      </c>
      <c r="B223" s="23" t="s">
        <v>533</v>
      </c>
      <c r="C223" s="23" t="s">
        <v>534</v>
      </c>
      <c r="D223" s="23" t="s">
        <v>532</v>
      </c>
      <c r="E223" s="47">
        <v>768.0</v>
      </c>
    </row>
    <row r="224">
      <c r="A224" s="23" t="s">
        <v>918</v>
      </c>
      <c r="B224" s="23" t="s">
        <v>919</v>
      </c>
      <c r="C224" s="23" t="s">
        <v>920</v>
      </c>
      <c r="D224" s="23" t="s">
        <v>918</v>
      </c>
      <c r="E224" s="47">
        <v>772.0</v>
      </c>
    </row>
    <row r="225">
      <c r="A225" s="23" t="s">
        <v>535</v>
      </c>
      <c r="B225" s="23" t="s">
        <v>536</v>
      </c>
      <c r="C225" s="23" t="s">
        <v>537</v>
      </c>
      <c r="D225" s="23" t="s">
        <v>535</v>
      </c>
      <c r="E225" s="47">
        <v>776.0</v>
      </c>
    </row>
    <row r="226">
      <c r="A226" s="23" t="s">
        <v>538</v>
      </c>
      <c r="B226" s="23" t="s">
        <v>539</v>
      </c>
      <c r="C226" s="23" t="s">
        <v>540</v>
      </c>
      <c r="D226" s="23" t="s">
        <v>538</v>
      </c>
      <c r="E226" s="47">
        <v>780.0</v>
      </c>
    </row>
    <row r="227">
      <c r="A227" s="23" t="s">
        <v>541</v>
      </c>
      <c r="B227" s="23" t="s">
        <v>542</v>
      </c>
      <c r="C227" s="23" t="s">
        <v>543</v>
      </c>
      <c r="D227" s="23" t="s">
        <v>541</v>
      </c>
      <c r="E227" s="47">
        <v>788.0</v>
      </c>
    </row>
    <row r="228">
      <c r="A228" s="23" t="s">
        <v>544</v>
      </c>
      <c r="B228" s="23" t="s">
        <v>921</v>
      </c>
      <c r="C228" s="23" t="s">
        <v>546</v>
      </c>
      <c r="D228" s="23" t="s">
        <v>544</v>
      </c>
      <c r="E228" s="47">
        <v>792.0</v>
      </c>
    </row>
    <row r="229">
      <c r="A229" s="23" t="s">
        <v>547</v>
      </c>
      <c r="B229" s="23" t="s">
        <v>548</v>
      </c>
      <c r="C229" s="23" t="s">
        <v>549</v>
      </c>
      <c r="D229" s="23" t="s">
        <v>547</v>
      </c>
      <c r="E229" s="47">
        <v>795.0</v>
      </c>
    </row>
    <row r="230">
      <c r="A230" s="23" t="s">
        <v>922</v>
      </c>
      <c r="B230" s="23" t="s">
        <v>923</v>
      </c>
      <c r="C230" s="23" t="s">
        <v>924</v>
      </c>
      <c r="D230" s="23" t="s">
        <v>922</v>
      </c>
      <c r="E230" s="47">
        <v>796.0</v>
      </c>
    </row>
    <row r="231">
      <c r="A231" s="23" t="s">
        <v>550</v>
      </c>
      <c r="B231" s="23" t="s">
        <v>551</v>
      </c>
      <c r="C231" s="23" t="s">
        <v>552</v>
      </c>
      <c r="D231" s="23" t="s">
        <v>550</v>
      </c>
      <c r="E231" s="47">
        <v>798.0</v>
      </c>
    </row>
    <row r="232">
      <c r="A232" s="23" t="s">
        <v>553</v>
      </c>
      <c r="B232" s="23" t="s">
        <v>554</v>
      </c>
      <c r="C232" s="23" t="s">
        <v>555</v>
      </c>
      <c r="D232" s="23" t="s">
        <v>553</v>
      </c>
      <c r="E232" s="47">
        <v>800.0</v>
      </c>
    </row>
    <row r="233">
      <c r="A233" s="23" t="s">
        <v>556</v>
      </c>
      <c r="B233" s="23" t="s">
        <v>557</v>
      </c>
      <c r="C233" s="23" t="s">
        <v>558</v>
      </c>
      <c r="D233" s="23" t="s">
        <v>556</v>
      </c>
      <c r="E233" s="47">
        <v>804.0</v>
      </c>
    </row>
    <row r="234">
      <c r="A234" s="23" t="s">
        <v>559</v>
      </c>
      <c r="B234" s="23" t="s">
        <v>560</v>
      </c>
      <c r="C234" s="23" t="s">
        <v>561</v>
      </c>
      <c r="D234" s="23" t="s">
        <v>559</v>
      </c>
      <c r="E234" s="47">
        <v>784.0</v>
      </c>
    </row>
    <row r="235">
      <c r="A235" s="23" t="s">
        <v>562</v>
      </c>
      <c r="B235" s="23" t="s">
        <v>563</v>
      </c>
      <c r="C235" s="23" t="s">
        <v>564</v>
      </c>
      <c r="D235" s="23" t="s">
        <v>562</v>
      </c>
      <c r="E235" s="47">
        <v>826.0</v>
      </c>
    </row>
    <row r="236">
      <c r="A236" s="23" t="s">
        <v>925</v>
      </c>
      <c r="B236" s="23" t="s">
        <v>926</v>
      </c>
      <c r="C236" s="23" t="s">
        <v>927</v>
      </c>
      <c r="D236" s="23" t="s">
        <v>925</v>
      </c>
      <c r="E236" s="47">
        <v>581.0</v>
      </c>
    </row>
    <row r="237">
      <c r="A237" s="23" t="s">
        <v>565</v>
      </c>
      <c r="B237" s="23" t="s">
        <v>566</v>
      </c>
      <c r="C237" s="23" t="s">
        <v>567</v>
      </c>
      <c r="D237" s="23" t="s">
        <v>565</v>
      </c>
      <c r="E237" s="47">
        <v>840.0</v>
      </c>
    </row>
    <row r="238">
      <c r="A238" s="23" t="s">
        <v>568</v>
      </c>
      <c r="B238" s="23" t="s">
        <v>569</v>
      </c>
      <c r="C238" s="23" t="s">
        <v>570</v>
      </c>
      <c r="D238" s="23" t="s">
        <v>568</v>
      </c>
      <c r="E238" s="47">
        <v>858.0</v>
      </c>
    </row>
    <row r="239">
      <c r="A239" s="23" t="s">
        <v>571</v>
      </c>
      <c r="B239" s="23" t="s">
        <v>572</v>
      </c>
      <c r="C239" s="23" t="s">
        <v>573</v>
      </c>
      <c r="D239" s="23" t="s">
        <v>571</v>
      </c>
      <c r="E239" s="47">
        <v>860.0</v>
      </c>
    </row>
    <row r="240">
      <c r="A240" s="23" t="s">
        <v>574</v>
      </c>
      <c r="B240" s="23" t="s">
        <v>575</v>
      </c>
      <c r="C240" s="23" t="s">
        <v>576</v>
      </c>
      <c r="D240" s="23" t="s">
        <v>574</v>
      </c>
      <c r="E240" s="47">
        <v>548.0</v>
      </c>
    </row>
    <row r="241">
      <c r="A241" s="23" t="s">
        <v>577</v>
      </c>
      <c r="B241" s="23" t="s">
        <v>578</v>
      </c>
      <c r="C241" s="23" t="s">
        <v>579</v>
      </c>
      <c r="D241" s="23" t="s">
        <v>577</v>
      </c>
      <c r="E241" s="47">
        <v>862.0</v>
      </c>
    </row>
    <row r="242">
      <c r="A242" s="23" t="s">
        <v>580</v>
      </c>
      <c r="B242" s="23" t="s">
        <v>581</v>
      </c>
      <c r="C242" s="23" t="s">
        <v>582</v>
      </c>
      <c r="D242" s="23" t="s">
        <v>580</v>
      </c>
      <c r="E242" s="47">
        <v>704.0</v>
      </c>
    </row>
    <row r="243">
      <c r="A243" s="23" t="s">
        <v>928</v>
      </c>
      <c r="B243" s="23" t="s">
        <v>929</v>
      </c>
      <c r="C243" s="23" t="s">
        <v>930</v>
      </c>
      <c r="D243" s="23" t="s">
        <v>928</v>
      </c>
      <c r="E243" s="47">
        <v>92.0</v>
      </c>
    </row>
    <row r="244">
      <c r="A244" s="23" t="s">
        <v>931</v>
      </c>
      <c r="B244" s="23" t="s">
        <v>932</v>
      </c>
      <c r="C244" s="23" t="s">
        <v>933</v>
      </c>
      <c r="D244" s="23" t="s">
        <v>931</v>
      </c>
      <c r="E244" s="47">
        <v>850.0</v>
      </c>
    </row>
    <row r="245">
      <c r="A245" s="23" t="s">
        <v>934</v>
      </c>
      <c r="B245" s="23" t="s">
        <v>935</v>
      </c>
      <c r="C245" s="23" t="s">
        <v>936</v>
      </c>
      <c r="D245" s="23" t="s">
        <v>934</v>
      </c>
      <c r="E245" s="47">
        <v>876.0</v>
      </c>
    </row>
    <row r="246">
      <c r="A246" s="23" t="s">
        <v>937</v>
      </c>
      <c r="B246" s="23" t="s">
        <v>938</v>
      </c>
      <c r="C246" s="23" t="s">
        <v>939</v>
      </c>
      <c r="D246" s="23" t="s">
        <v>937</v>
      </c>
      <c r="E246" s="47">
        <v>732.0</v>
      </c>
    </row>
    <row r="247">
      <c r="A247" s="23" t="s">
        <v>583</v>
      </c>
      <c r="B247" s="23" t="s">
        <v>584</v>
      </c>
      <c r="C247" s="23" t="s">
        <v>585</v>
      </c>
      <c r="D247" s="23" t="s">
        <v>583</v>
      </c>
      <c r="E247" s="47">
        <v>887.0</v>
      </c>
    </row>
    <row r="248">
      <c r="A248" s="23" t="s">
        <v>586</v>
      </c>
      <c r="B248" s="23" t="s">
        <v>587</v>
      </c>
      <c r="C248" s="23" t="s">
        <v>588</v>
      </c>
      <c r="D248" s="23" t="s">
        <v>586</v>
      </c>
      <c r="E248" s="47">
        <v>894.0</v>
      </c>
    </row>
    <row r="249">
      <c r="A249" s="23" t="s">
        <v>589</v>
      </c>
      <c r="B249" s="23" t="s">
        <v>590</v>
      </c>
      <c r="C249" s="23" t="s">
        <v>591</v>
      </c>
      <c r="D249" s="23" t="s">
        <v>589</v>
      </c>
      <c r="E249" s="47">
        <v>716.0</v>
      </c>
    </row>
    <row r="250">
      <c r="A250" s="23" t="s">
        <v>940</v>
      </c>
      <c r="B250" s="23" t="s">
        <v>941</v>
      </c>
      <c r="C250" s="23" t="s">
        <v>942</v>
      </c>
      <c r="D250" s="23" t="s">
        <v>940</v>
      </c>
      <c r="E250" s="47">
        <v>248.0</v>
      </c>
    </row>
    <row r="251">
      <c r="E251" s="48"/>
    </row>
    <row r="252">
      <c r="E252" s="48"/>
    </row>
    <row r="253">
      <c r="E253" s="48"/>
    </row>
    <row r="254">
      <c r="E254" s="48"/>
    </row>
    <row r="255">
      <c r="E255" s="48"/>
    </row>
    <row r="256">
      <c r="E256" s="48"/>
    </row>
    <row r="257">
      <c r="E257" s="48"/>
    </row>
    <row r="258">
      <c r="E258" s="48"/>
    </row>
    <row r="259">
      <c r="E259" s="48"/>
    </row>
    <row r="260">
      <c r="E260" s="48"/>
    </row>
    <row r="261">
      <c r="E261" s="48"/>
    </row>
    <row r="262">
      <c r="E262" s="48"/>
    </row>
    <row r="263">
      <c r="E263" s="48"/>
    </row>
    <row r="264">
      <c r="E264" s="48"/>
    </row>
    <row r="265">
      <c r="E265" s="48"/>
    </row>
    <row r="266">
      <c r="E266" s="48"/>
    </row>
    <row r="267">
      <c r="E267" s="48"/>
    </row>
    <row r="268">
      <c r="E268" s="48"/>
    </row>
    <row r="269">
      <c r="E269" s="48"/>
    </row>
    <row r="270">
      <c r="E270" s="48"/>
    </row>
    <row r="271">
      <c r="E271" s="48"/>
    </row>
    <row r="272">
      <c r="E272" s="48"/>
    </row>
    <row r="273">
      <c r="E273" s="48"/>
    </row>
    <row r="274">
      <c r="E274" s="48"/>
    </row>
    <row r="275">
      <c r="E275" s="48"/>
    </row>
    <row r="276">
      <c r="E276" s="48"/>
    </row>
    <row r="277">
      <c r="E277" s="48"/>
    </row>
    <row r="278">
      <c r="E278" s="48"/>
    </row>
    <row r="279">
      <c r="E279" s="48"/>
    </row>
    <row r="280">
      <c r="E280" s="48"/>
    </row>
    <row r="281">
      <c r="E281" s="48"/>
    </row>
    <row r="282">
      <c r="E282" s="48"/>
    </row>
    <row r="283">
      <c r="E283" s="48"/>
    </row>
    <row r="284">
      <c r="E284" s="48"/>
    </row>
    <row r="285">
      <c r="E285" s="48"/>
    </row>
    <row r="286">
      <c r="E286" s="48"/>
    </row>
    <row r="287">
      <c r="E287" s="48"/>
    </row>
    <row r="288">
      <c r="E288" s="48"/>
    </row>
    <row r="289">
      <c r="E289" s="48"/>
    </row>
    <row r="290">
      <c r="E290" s="48"/>
    </row>
    <row r="291">
      <c r="E291" s="48"/>
    </row>
    <row r="292">
      <c r="E292" s="48"/>
    </row>
    <row r="293">
      <c r="E293" s="48"/>
    </row>
    <row r="294">
      <c r="E294" s="48"/>
    </row>
    <row r="295">
      <c r="E295" s="48"/>
    </row>
    <row r="296">
      <c r="E296" s="48"/>
    </row>
    <row r="297">
      <c r="E297" s="48"/>
    </row>
    <row r="298">
      <c r="E298" s="48"/>
    </row>
    <row r="299">
      <c r="E299" s="48"/>
    </row>
    <row r="300">
      <c r="E300" s="48"/>
    </row>
    <row r="301">
      <c r="E301" s="48"/>
    </row>
    <row r="302">
      <c r="E302" s="48"/>
    </row>
    <row r="303">
      <c r="E303" s="48"/>
    </row>
    <row r="304">
      <c r="E304" s="48"/>
    </row>
    <row r="305">
      <c r="E305" s="48"/>
    </row>
    <row r="306">
      <c r="E306" s="48"/>
    </row>
    <row r="307">
      <c r="E307" s="48"/>
    </row>
    <row r="308">
      <c r="E308" s="48"/>
    </row>
    <row r="309">
      <c r="E309" s="48"/>
    </row>
    <row r="310">
      <c r="E310" s="48"/>
    </row>
    <row r="311">
      <c r="E311" s="48"/>
    </row>
    <row r="312">
      <c r="E312" s="48"/>
    </row>
    <row r="313">
      <c r="E313" s="48"/>
    </row>
    <row r="314">
      <c r="E314" s="48"/>
    </row>
    <row r="315">
      <c r="E315" s="48"/>
    </row>
    <row r="316">
      <c r="E316" s="48"/>
    </row>
    <row r="317">
      <c r="E317" s="48"/>
    </row>
    <row r="318">
      <c r="E318" s="48"/>
    </row>
    <row r="319">
      <c r="E319" s="48"/>
    </row>
    <row r="320">
      <c r="E320" s="48"/>
    </row>
    <row r="321">
      <c r="E321" s="48"/>
    </row>
    <row r="322">
      <c r="E322" s="48"/>
    </row>
    <row r="323">
      <c r="E323" s="48"/>
    </row>
    <row r="324">
      <c r="E324" s="48"/>
    </row>
    <row r="325">
      <c r="E325" s="48"/>
    </row>
    <row r="326">
      <c r="E326" s="48"/>
    </row>
    <row r="327">
      <c r="E327" s="48"/>
    </row>
    <row r="328">
      <c r="E328" s="48"/>
    </row>
    <row r="329">
      <c r="E329" s="48"/>
    </row>
    <row r="330">
      <c r="E330" s="48"/>
    </row>
    <row r="331">
      <c r="E331" s="48"/>
    </row>
    <row r="332">
      <c r="E332" s="48"/>
    </row>
    <row r="333">
      <c r="E333" s="48"/>
    </row>
    <row r="334">
      <c r="E334" s="48"/>
    </row>
    <row r="335">
      <c r="E335" s="48"/>
    </row>
    <row r="336">
      <c r="E336" s="48"/>
    </row>
    <row r="337">
      <c r="E337" s="48"/>
    </row>
    <row r="338">
      <c r="E338" s="48"/>
    </row>
    <row r="339">
      <c r="E339" s="48"/>
    </row>
    <row r="340">
      <c r="E340" s="48"/>
    </row>
    <row r="341">
      <c r="E341" s="48"/>
    </row>
    <row r="342">
      <c r="E342" s="48"/>
    </row>
    <row r="343">
      <c r="E343" s="48"/>
    </row>
    <row r="344">
      <c r="E344" s="48"/>
    </row>
    <row r="345">
      <c r="E345" s="48"/>
    </row>
    <row r="346">
      <c r="E346" s="48"/>
    </row>
    <row r="347">
      <c r="E347" s="48"/>
    </row>
    <row r="348">
      <c r="E348" s="48"/>
    </row>
    <row r="349">
      <c r="E349" s="48"/>
    </row>
    <row r="350">
      <c r="E350" s="48"/>
    </row>
    <row r="351">
      <c r="E351" s="48"/>
    </row>
    <row r="352">
      <c r="E352" s="48"/>
    </row>
    <row r="353">
      <c r="E353" s="48"/>
    </row>
    <row r="354">
      <c r="E354" s="48"/>
    </row>
    <row r="355">
      <c r="E355" s="48"/>
    </row>
    <row r="356">
      <c r="E356" s="48"/>
    </row>
    <row r="357">
      <c r="E357" s="48"/>
    </row>
    <row r="358">
      <c r="E358" s="48"/>
    </row>
    <row r="359">
      <c r="E359" s="48"/>
    </row>
    <row r="360">
      <c r="E360" s="48"/>
    </row>
    <row r="361">
      <c r="E361" s="48"/>
    </row>
    <row r="362">
      <c r="E362" s="48"/>
    </row>
    <row r="363">
      <c r="E363" s="48"/>
    </row>
    <row r="364">
      <c r="E364" s="48"/>
    </row>
    <row r="365">
      <c r="E365" s="48"/>
    </row>
    <row r="366">
      <c r="E366" s="48"/>
    </row>
    <row r="367">
      <c r="E367" s="48"/>
    </row>
    <row r="368">
      <c r="E368" s="48"/>
    </row>
    <row r="369">
      <c r="E369" s="48"/>
    </row>
    <row r="370">
      <c r="E370" s="48"/>
    </row>
    <row r="371">
      <c r="E371" s="48"/>
    </row>
    <row r="372">
      <c r="E372" s="48"/>
    </row>
    <row r="373">
      <c r="E373" s="48"/>
    </row>
    <row r="374">
      <c r="E374" s="48"/>
    </row>
    <row r="375">
      <c r="E375" s="48"/>
    </row>
    <row r="376">
      <c r="E376" s="48"/>
    </row>
    <row r="377">
      <c r="E377" s="48"/>
    </row>
    <row r="378">
      <c r="E378" s="48"/>
    </row>
    <row r="379">
      <c r="E379" s="48"/>
    </row>
    <row r="380">
      <c r="E380" s="48"/>
    </row>
    <row r="381">
      <c r="E381" s="48"/>
    </row>
    <row r="382">
      <c r="E382" s="48"/>
    </row>
    <row r="383">
      <c r="E383" s="48"/>
    </row>
    <row r="384">
      <c r="E384" s="48"/>
    </row>
    <row r="385">
      <c r="E385" s="48"/>
    </row>
    <row r="386">
      <c r="E386" s="48"/>
    </row>
    <row r="387">
      <c r="E387" s="48"/>
    </row>
    <row r="388">
      <c r="E388" s="48"/>
    </row>
    <row r="389">
      <c r="E389" s="48"/>
    </row>
    <row r="390">
      <c r="E390" s="48"/>
    </row>
    <row r="391">
      <c r="E391" s="48"/>
    </row>
    <row r="392">
      <c r="E392" s="48"/>
    </row>
    <row r="393">
      <c r="E393" s="48"/>
    </row>
    <row r="394">
      <c r="E394" s="48"/>
    </row>
    <row r="395">
      <c r="E395" s="48"/>
    </row>
    <row r="396">
      <c r="E396" s="48"/>
    </row>
    <row r="397">
      <c r="E397" s="48"/>
    </row>
    <row r="398">
      <c r="E398" s="48"/>
    </row>
    <row r="399">
      <c r="E399" s="48"/>
    </row>
    <row r="400">
      <c r="E400" s="48"/>
    </row>
    <row r="401">
      <c r="E401" s="48"/>
    </row>
    <row r="402">
      <c r="E402" s="48"/>
    </row>
    <row r="403">
      <c r="E403" s="48"/>
    </row>
    <row r="404">
      <c r="E404" s="48"/>
    </row>
    <row r="405">
      <c r="E405" s="48"/>
    </row>
    <row r="406">
      <c r="E406" s="48"/>
    </row>
    <row r="407">
      <c r="E407" s="48"/>
    </row>
    <row r="408">
      <c r="E408" s="48"/>
    </row>
    <row r="409">
      <c r="E409" s="48"/>
    </row>
    <row r="410">
      <c r="E410" s="48"/>
    </row>
    <row r="411">
      <c r="E411" s="48"/>
    </row>
    <row r="412">
      <c r="E412" s="48"/>
    </row>
    <row r="413">
      <c r="E413" s="48"/>
    </row>
    <row r="414">
      <c r="E414" s="48"/>
    </row>
    <row r="415">
      <c r="E415" s="48"/>
    </row>
    <row r="416">
      <c r="E416" s="48"/>
    </row>
    <row r="417">
      <c r="E417" s="48"/>
    </row>
    <row r="418">
      <c r="E418" s="48"/>
    </row>
    <row r="419">
      <c r="E419" s="48"/>
    </row>
    <row r="420">
      <c r="E420" s="48"/>
    </row>
    <row r="421">
      <c r="E421" s="48"/>
    </row>
    <row r="422">
      <c r="E422" s="48"/>
    </row>
    <row r="423">
      <c r="E423" s="48"/>
    </row>
    <row r="424">
      <c r="E424" s="48"/>
    </row>
    <row r="425">
      <c r="E425" s="48"/>
    </row>
    <row r="426">
      <c r="E426" s="48"/>
    </row>
    <row r="427">
      <c r="E427" s="48"/>
    </row>
    <row r="428">
      <c r="E428" s="48"/>
    </row>
    <row r="429">
      <c r="E429" s="48"/>
    </row>
    <row r="430">
      <c r="E430" s="48"/>
    </row>
    <row r="431">
      <c r="E431" s="48"/>
    </row>
    <row r="432">
      <c r="E432" s="48"/>
    </row>
    <row r="433">
      <c r="E433" s="48"/>
    </row>
    <row r="434">
      <c r="E434" s="48"/>
    </row>
    <row r="435">
      <c r="E435" s="48"/>
    </row>
    <row r="436">
      <c r="E436" s="48"/>
    </row>
    <row r="437">
      <c r="E437" s="48"/>
    </row>
    <row r="438">
      <c r="E438" s="48"/>
    </row>
    <row r="439">
      <c r="E439" s="48"/>
    </row>
    <row r="440">
      <c r="E440" s="48"/>
    </row>
    <row r="441">
      <c r="E441" s="48"/>
    </row>
    <row r="442">
      <c r="E442" s="48"/>
    </row>
    <row r="443">
      <c r="E443" s="48"/>
    </row>
    <row r="444">
      <c r="E444" s="48"/>
    </row>
    <row r="445">
      <c r="E445" s="48"/>
    </row>
    <row r="446">
      <c r="E446" s="48"/>
    </row>
    <row r="447">
      <c r="E447" s="48"/>
    </row>
    <row r="448">
      <c r="E448" s="48"/>
    </row>
    <row r="449">
      <c r="E449" s="48"/>
    </row>
    <row r="450">
      <c r="E450" s="48"/>
    </row>
    <row r="451">
      <c r="E451" s="48"/>
    </row>
    <row r="452">
      <c r="E452" s="48"/>
    </row>
    <row r="453">
      <c r="E453" s="48"/>
    </row>
    <row r="454">
      <c r="E454" s="48"/>
    </row>
    <row r="455">
      <c r="E455" s="48"/>
    </row>
    <row r="456">
      <c r="E456" s="48"/>
    </row>
    <row r="457">
      <c r="E457" s="48"/>
    </row>
    <row r="458">
      <c r="E458" s="48"/>
    </row>
    <row r="459">
      <c r="E459" s="48"/>
    </row>
    <row r="460">
      <c r="E460" s="48"/>
    </row>
    <row r="461">
      <c r="E461" s="48"/>
    </row>
    <row r="462">
      <c r="E462" s="48"/>
    </row>
    <row r="463">
      <c r="E463" s="48"/>
    </row>
    <row r="464">
      <c r="E464" s="48"/>
    </row>
    <row r="465">
      <c r="E465" s="48"/>
    </row>
    <row r="466">
      <c r="E466" s="48"/>
    </row>
    <row r="467">
      <c r="E467" s="48"/>
    </row>
    <row r="468">
      <c r="E468" s="48"/>
    </row>
    <row r="469">
      <c r="E469" s="48"/>
    </row>
    <row r="470">
      <c r="E470" s="48"/>
    </row>
    <row r="471">
      <c r="E471" s="48"/>
    </row>
    <row r="472">
      <c r="E472" s="48"/>
    </row>
    <row r="473">
      <c r="E473" s="48"/>
    </row>
    <row r="474">
      <c r="E474" s="48"/>
    </row>
    <row r="475">
      <c r="E475" s="48"/>
    </row>
    <row r="476">
      <c r="E476" s="48"/>
    </row>
    <row r="477">
      <c r="E477" s="48"/>
    </row>
    <row r="478">
      <c r="E478" s="48"/>
    </row>
    <row r="479">
      <c r="E479" s="48"/>
    </row>
    <row r="480">
      <c r="E480" s="48"/>
    </row>
    <row r="481">
      <c r="E481" s="48"/>
    </row>
    <row r="482">
      <c r="E482" s="48"/>
    </row>
    <row r="483">
      <c r="E483" s="48"/>
    </row>
    <row r="484">
      <c r="E484" s="48"/>
    </row>
    <row r="485">
      <c r="E485" s="48"/>
    </row>
    <row r="486">
      <c r="E486" s="48"/>
    </row>
    <row r="487">
      <c r="E487" s="48"/>
    </row>
    <row r="488">
      <c r="E488" s="48"/>
    </row>
    <row r="489">
      <c r="E489" s="48"/>
    </row>
    <row r="490">
      <c r="E490" s="48"/>
    </row>
    <row r="491">
      <c r="E491" s="48"/>
    </row>
    <row r="492">
      <c r="E492" s="48"/>
    </row>
    <row r="493">
      <c r="E493" s="48"/>
    </row>
    <row r="494">
      <c r="E494" s="48"/>
    </row>
    <row r="495">
      <c r="E495" s="48"/>
    </row>
    <row r="496">
      <c r="E496" s="48"/>
    </row>
    <row r="497">
      <c r="E497" s="48"/>
    </row>
    <row r="498">
      <c r="E498" s="48"/>
    </row>
    <row r="499">
      <c r="E499" s="48"/>
    </row>
    <row r="500">
      <c r="E500" s="48"/>
    </row>
    <row r="501">
      <c r="E501" s="48"/>
    </row>
    <row r="502">
      <c r="E502" s="48"/>
    </row>
    <row r="503">
      <c r="E503" s="48"/>
    </row>
    <row r="504">
      <c r="E504" s="48"/>
    </row>
    <row r="505">
      <c r="E505" s="48"/>
    </row>
    <row r="506">
      <c r="E506" s="48"/>
    </row>
    <row r="507">
      <c r="E507" s="48"/>
    </row>
    <row r="508">
      <c r="E508" s="48"/>
    </row>
    <row r="509">
      <c r="E509" s="48"/>
    </row>
    <row r="510">
      <c r="E510" s="48"/>
    </row>
    <row r="511">
      <c r="E511" s="48"/>
    </row>
    <row r="512">
      <c r="E512" s="48"/>
    </row>
    <row r="513">
      <c r="E513" s="48"/>
    </row>
    <row r="514">
      <c r="E514" s="48"/>
    </row>
    <row r="515">
      <c r="E515" s="48"/>
    </row>
    <row r="516">
      <c r="E516" s="48"/>
    </row>
    <row r="517">
      <c r="E517" s="48"/>
    </row>
    <row r="518">
      <c r="E518" s="48"/>
    </row>
    <row r="519">
      <c r="E519" s="48"/>
    </row>
    <row r="520">
      <c r="E520" s="48"/>
    </row>
    <row r="521">
      <c r="E521" s="48"/>
    </row>
    <row r="522">
      <c r="E522" s="48"/>
    </row>
    <row r="523">
      <c r="E523" s="48"/>
    </row>
    <row r="524">
      <c r="E524" s="48"/>
    </row>
    <row r="525">
      <c r="E525" s="48"/>
    </row>
    <row r="526">
      <c r="E526" s="48"/>
    </row>
    <row r="527">
      <c r="E527" s="48"/>
    </row>
    <row r="528">
      <c r="E528" s="48"/>
    </row>
    <row r="529">
      <c r="E529" s="48"/>
    </row>
    <row r="530">
      <c r="E530" s="48"/>
    </row>
    <row r="531">
      <c r="E531" s="48"/>
    </row>
    <row r="532">
      <c r="E532" s="48"/>
    </row>
    <row r="533">
      <c r="E533" s="48"/>
    </row>
    <row r="534">
      <c r="E534" s="48"/>
    </row>
    <row r="535">
      <c r="E535" s="48"/>
    </row>
    <row r="536">
      <c r="E536" s="48"/>
    </row>
    <row r="537">
      <c r="E537" s="48"/>
    </row>
    <row r="538">
      <c r="E538" s="48"/>
    </row>
    <row r="539">
      <c r="E539" s="48"/>
    </row>
    <row r="540">
      <c r="E540" s="48"/>
    </row>
    <row r="541">
      <c r="E541" s="48"/>
    </row>
    <row r="542">
      <c r="E542" s="48"/>
    </row>
    <row r="543">
      <c r="E543" s="48"/>
    </row>
    <row r="544">
      <c r="E544" s="48"/>
    </row>
    <row r="545">
      <c r="E545" s="48"/>
    </row>
    <row r="546">
      <c r="E546" s="48"/>
    </row>
    <row r="547">
      <c r="E547" s="48"/>
    </row>
    <row r="548">
      <c r="E548" s="48"/>
    </row>
    <row r="549">
      <c r="E549" s="48"/>
    </row>
    <row r="550">
      <c r="E550" s="48"/>
    </row>
    <row r="551">
      <c r="E551" s="48"/>
    </row>
    <row r="552">
      <c r="E552" s="48"/>
    </row>
    <row r="553">
      <c r="E553" s="48"/>
    </row>
    <row r="554">
      <c r="E554" s="48"/>
    </row>
    <row r="555">
      <c r="E555" s="48"/>
    </row>
    <row r="556">
      <c r="E556" s="48"/>
    </row>
    <row r="557">
      <c r="E557" s="48"/>
    </row>
    <row r="558">
      <c r="E558" s="48"/>
    </row>
    <row r="559">
      <c r="E559" s="48"/>
    </row>
    <row r="560">
      <c r="E560" s="48"/>
    </row>
    <row r="561">
      <c r="E561" s="48"/>
    </row>
    <row r="562">
      <c r="E562" s="48"/>
    </row>
    <row r="563">
      <c r="E563" s="48"/>
    </row>
    <row r="564">
      <c r="E564" s="48"/>
    </row>
    <row r="565">
      <c r="E565" s="48"/>
    </row>
    <row r="566">
      <c r="E566" s="48"/>
    </row>
    <row r="567">
      <c r="E567" s="48"/>
    </row>
    <row r="568">
      <c r="E568" s="48"/>
    </row>
    <row r="569">
      <c r="E569" s="48"/>
    </row>
    <row r="570">
      <c r="E570" s="48"/>
    </row>
    <row r="571">
      <c r="E571" s="48"/>
    </row>
    <row r="572">
      <c r="E572" s="48"/>
    </row>
    <row r="573">
      <c r="E573" s="48"/>
    </row>
    <row r="574">
      <c r="E574" s="48"/>
    </row>
    <row r="575">
      <c r="E575" s="48"/>
    </row>
    <row r="576">
      <c r="E576" s="48"/>
    </row>
    <row r="577">
      <c r="E577" s="48"/>
    </row>
    <row r="578">
      <c r="E578" s="48"/>
    </row>
    <row r="579">
      <c r="E579" s="48"/>
    </row>
    <row r="580">
      <c r="E580" s="48"/>
    </row>
    <row r="581">
      <c r="E581" s="48"/>
    </row>
    <row r="582">
      <c r="E582" s="48"/>
    </row>
    <row r="583">
      <c r="E583" s="48"/>
    </row>
    <row r="584">
      <c r="E584" s="48"/>
    </row>
    <row r="585">
      <c r="E585" s="48"/>
    </row>
    <row r="586">
      <c r="E586" s="48"/>
    </row>
    <row r="587">
      <c r="E587" s="48"/>
    </row>
    <row r="588">
      <c r="E588" s="48"/>
    </row>
    <row r="589">
      <c r="E589" s="48"/>
    </row>
    <row r="590">
      <c r="E590" s="48"/>
    </row>
    <row r="591">
      <c r="E591" s="48"/>
    </row>
    <row r="592">
      <c r="E592" s="48"/>
    </row>
    <row r="593">
      <c r="E593" s="48"/>
    </row>
    <row r="594">
      <c r="E594" s="48"/>
    </row>
    <row r="595">
      <c r="E595" s="48"/>
    </row>
    <row r="596">
      <c r="E596" s="48"/>
    </row>
    <row r="597">
      <c r="E597" s="48"/>
    </row>
    <row r="598">
      <c r="E598" s="48"/>
    </row>
    <row r="599">
      <c r="E599" s="48"/>
    </row>
    <row r="600">
      <c r="E600" s="48"/>
    </row>
    <row r="601">
      <c r="E601" s="48"/>
    </row>
    <row r="602">
      <c r="E602" s="48"/>
    </row>
    <row r="603">
      <c r="E603" s="48"/>
    </row>
    <row r="604">
      <c r="E604" s="48"/>
    </row>
    <row r="605">
      <c r="E605" s="48"/>
    </row>
    <row r="606">
      <c r="E606" s="48"/>
    </row>
    <row r="607">
      <c r="E607" s="48"/>
    </row>
    <row r="608">
      <c r="E608" s="48"/>
    </row>
    <row r="609">
      <c r="E609" s="48"/>
    </row>
    <row r="610">
      <c r="E610" s="48"/>
    </row>
    <row r="611">
      <c r="E611" s="48"/>
    </row>
    <row r="612">
      <c r="E612" s="48"/>
    </row>
    <row r="613">
      <c r="E613" s="48"/>
    </row>
    <row r="614">
      <c r="E614" s="48"/>
    </row>
    <row r="615">
      <c r="E615" s="48"/>
    </row>
    <row r="616">
      <c r="E616" s="48"/>
    </row>
    <row r="617">
      <c r="E617" s="48"/>
    </row>
    <row r="618">
      <c r="E618" s="48"/>
    </row>
    <row r="619">
      <c r="E619" s="48"/>
    </row>
    <row r="620">
      <c r="E620" s="48"/>
    </row>
    <row r="621">
      <c r="E621" s="48"/>
    </row>
    <row r="622">
      <c r="E622" s="48"/>
    </row>
    <row r="623">
      <c r="E623" s="48"/>
    </row>
    <row r="624">
      <c r="E624" s="48"/>
    </row>
    <row r="625">
      <c r="E625" s="48"/>
    </row>
    <row r="626">
      <c r="E626" s="48"/>
    </row>
    <row r="627">
      <c r="E627" s="48"/>
    </row>
    <row r="628">
      <c r="E628" s="48"/>
    </row>
    <row r="629">
      <c r="E629" s="48"/>
    </row>
    <row r="630">
      <c r="E630" s="48"/>
    </row>
    <row r="631">
      <c r="E631" s="48"/>
    </row>
    <row r="632">
      <c r="E632" s="48"/>
    </row>
    <row r="633">
      <c r="E633" s="48"/>
    </row>
    <row r="634">
      <c r="E634" s="48"/>
    </row>
    <row r="635">
      <c r="E635" s="48"/>
    </row>
    <row r="636">
      <c r="E636" s="48"/>
    </row>
    <row r="637">
      <c r="E637" s="48"/>
    </row>
    <row r="638">
      <c r="E638" s="48"/>
    </row>
    <row r="639">
      <c r="E639" s="48"/>
    </row>
    <row r="640">
      <c r="E640" s="48"/>
    </row>
    <row r="641">
      <c r="E641" s="48"/>
    </row>
    <row r="642">
      <c r="E642" s="48"/>
    </row>
    <row r="643">
      <c r="E643" s="48"/>
    </row>
    <row r="644">
      <c r="E644" s="48"/>
    </row>
    <row r="645">
      <c r="E645" s="48"/>
    </row>
    <row r="646">
      <c r="E646" s="48"/>
    </row>
    <row r="647">
      <c r="E647" s="48"/>
    </row>
    <row r="648">
      <c r="E648" s="48"/>
    </row>
    <row r="649">
      <c r="E649" s="48"/>
    </row>
    <row r="650">
      <c r="E650" s="48"/>
    </row>
    <row r="651">
      <c r="E651" s="48"/>
    </row>
    <row r="652">
      <c r="E652" s="48"/>
    </row>
    <row r="653">
      <c r="E653" s="48"/>
    </row>
    <row r="654">
      <c r="E654" s="48"/>
    </row>
    <row r="655">
      <c r="E655" s="48"/>
    </row>
    <row r="656">
      <c r="E656" s="48"/>
    </row>
    <row r="657">
      <c r="E657" s="48"/>
    </row>
    <row r="658">
      <c r="E658" s="48"/>
    </row>
    <row r="659">
      <c r="E659" s="48"/>
    </row>
    <row r="660">
      <c r="E660" s="48"/>
    </row>
    <row r="661">
      <c r="E661" s="48"/>
    </row>
    <row r="662">
      <c r="E662" s="48"/>
    </row>
    <row r="663">
      <c r="E663" s="48"/>
    </row>
    <row r="664">
      <c r="E664" s="48"/>
    </row>
    <row r="665">
      <c r="E665" s="48"/>
    </row>
    <row r="666">
      <c r="E666" s="48"/>
    </row>
    <row r="667">
      <c r="E667" s="48"/>
    </row>
    <row r="668">
      <c r="E668" s="48"/>
    </row>
    <row r="669">
      <c r="E669" s="48"/>
    </row>
    <row r="670">
      <c r="E670" s="48"/>
    </row>
    <row r="671">
      <c r="E671" s="48"/>
    </row>
    <row r="672">
      <c r="E672" s="48"/>
    </row>
    <row r="673">
      <c r="E673" s="48"/>
    </row>
    <row r="674">
      <c r="E674" s="48"/>
    </row>
    <row r="675">
      <c r="E675" s="48"/>
    </row>
    <row r="676">
      <c r="E676" s="48"/>
    </row>
    <row r="677">
      <c r="E677" s="48"/>
    </row>
    <row r="678">
      <c r="E678" s="48"/>
    </row>
    <row r="679">
      <c r="E679" s="48"/>
    </row>
    <row r="680">
      <c r="E680" s="48"/>
    </row>
    <row r="681">
      <c r="E681" s="48"/>
    </row>
    <row r="682">
      <c r="E682" s="48"/>
    </row>
    <row r="683">
      <c r="E683" s="48"/>
    </row>
    <row r="684">
      <c r="E684" s="48"/>
    </row>
    <row r="685">
      <c r="E685" s="48"/>
    </row>
    <row r="686">
      <c r="E686" s="48"/>
    </row>
    <row r="687">
      <c r="E687" s="48"/>
    </row>
    <row r="688">
      <c r="E688" s="48"/>
    </row>
    <row r="689">
      <c r="E689" s="48"/>
    </row>
    <row r="690">
      <c r="E690" s="48"/>
    </row>
    <row r="691">
      <c r="E691" s="48"/>
    </row>
    <row r="692">
      <c r="E692" s="48"/>
    </row>
    <row r="693">
      <c r="E693" s="48"/>
    </row>
    <row r="694">
      <c r="E694" s="48"/>
    </row>
    <row r="695">
      <c r="E695" s="48"/>
    </row>
    <row r="696">
      <c r="E696" s="48"/>
    </row>
    <row r="697">
      <c r="E697" s="48"/>
    </row>
    <row r="698">
      <c r="E698" s="48"/>
    </row>
    <row r="699">
      <c r="E699" s="48"/>
    </row>
    <row r="700">
      <c r="E700" s="48"/>
    </row>
    <row r="701">
      <c r="E701" s="48"/>
    </row>
    <row r="702">
      <c r="E702" s="48"/>
    </row>
    <row r="703">
      <c r="E703" s="48"/>
    </row>
    <row r="704">
      <c r="E704" s="48"/>
    </row>
    <row r="705">
      <c r="E705" s="48"/>
    </row>
    <row r="706">
      <c r="E706" s="48"/>
    </row>
    <row r="707">
      <c r="E707" s="48"/>
    </row>
    <row r="708">
      <c r="E708" s="48"/>
    </row>
    <row r="709">
      <c r="E709" s="48"/>
    </row>
    <row r="710">
      <c r="E710" s="48"/>
    </row>
    <row r="711">
      <c r="E711" s="48"/>
    </row>
    <row r="712">
      <c r="E712" s="48"/>
    </row>
    <row r="713">
      <c r="E713" s="48"/>
    </row>
    <row r="714">
      <c r="E714" s="48"/>
    </row>
    <row r="715">
      <c r="E715" s="48"/>
    </row>
    <row r="716">
      <c r="E716" s="48"/>
    </row>
    <row r="717">
      <c r="E717" s="48"/>
    </row>
    <row r="718">
      <c r="E718" s="48"/>
    </row>
    <row r="719">
      <c r="E719" s="48"/>
    </row>
    <row r="720">
      <c r="E720" s="48"/>
    </row>
    <row r="721">
      <c r="E721" s="48"/>
    </row>
    <row r="722">
      <c r="E722" s="48"/>
    </row>
    <row r="723">
      <c r="E723" s="48"/>
    </row>
    <row r="724">
      <c r="E724" s="48"/>
    </row>
    <row r="725">
      <c r="E725" s="48"/>
    </row>
    <row r="726">
      <c r="E726" s="48"/>
    </row>
    <row r="727">
      <c r="E727" s="48"/>
    </row>
    <row r="728">
      <c r="E728" s="48"/>
    </row>
    <row r="729">
      <c r="E729" s="48"/>
    </row>
    <row r="730">
      <c r="E730" s="48"/>
    </row>
    <row r="731">
      <c r="E731" s="48"/>
    </row>
    <row r="732">
      <c r="E732" s="48"/>
    </row>
    <row r="733">
      <c r="E733" s="48"/>
    </row>
    <row r="734">
      <c r="E734" s="48"/>
    </row>
    <row r="735">
      <c r="E735" s="48"/>
    </row>
    <row r="736">
      <c r="E736" s="48"/>
    </row>
    <row r="737">
      <c r="E737" s="48"/>
    </row>
    <row r="738">
      <c r="E738" s="48"/>
    </row>
    <row r="739">
      <c r="E739" s="48"/>
    </row>
    <row r="740">
      <c r="E740" s="48"/>
    </row>
    <row r="741">
      <c r="E741" s="48"/>
    </row>
    <row r="742">
      <c r="E742" s="48"/>
    </row>
    <row r="743">
      <c r="E743" s="48"/>
    </row>
    <row r="744">
      <c r="E744" s="48"/>
    </row>
    <row r="745">
      <c r="E745" s="48"/>
    </row>
    <row r="746">
      <c r="E746" s="48"/>
    </row>
    <row r="747">
      <c r="E747" s="48"/>
    </row>
    <row r="748">
      <c r="E748" s="48"/>
    </row>
    <row r="749">
      <c r="E749" s="48"/>
    </row>
    <row r="750">
      <c r="E750" s="48"/>
    </row>
    <row r="751">
      <c r="E751" s="48"/>
    </row>
    <row r="752">
      <c r="E752" s="48"/>
    </row>
    <row r="753">
      <c r="E753" s="48"/>
    </row>
    <row r="754">
      <c r="E754" s="48"/>
    </row>
    <row r="755">
      <c r="E755" s="48"/>
    </row>
    <row r="756">
      <c r="E756" s="48"/>
    </row>
    <row r="757">
      <c r="E757" s="48"/>
    </row>
    <row r="758">
      <c r="E758" s="48"/>
    </row>
    <row r="759">
      <c r="E759" s="48"/>
    </row>
    <row r="760">
      <c r="E760" s="48"/>
    </row>
    <row r="761">
      <c r="E761" s="48"/>
    </row>
    <row r="762">
      <c r="E762" s="48"/>
    </row>
    <row r="763">
      <c r="E763" s="48"/>
    </row>
    <row r="764">
      <c r="E764" s="48"/>
    </row>
    <row r="765">
      <c r="E765" s="48"/>
    </row>
    <row r="766">
      <c r="E766" s="48"/>
    </row>
    <row r="767">
      <c r="E767" s="48"/>
    </row>
    <row r="768">
      <c r="E768" s="48"/>
    </row>
    <row r="769">
      <c r="E769" s="48"/>
    </row>
    <row r="770">
      <c r="E770" s="48"/>
    </row>
    <row r="771">
      <c r="E771" s="48"/>
    </row>
    <row r="772">
      <c r="E772" s="48"/>
    </row>
    <row r="773">
      <c r="E773" s="48"/>
    </row>
    <row r="774">
      <c r="E774" s="48"/>
    </row>
    <row r="775">
      <c r="E775" s="48"/>
    </row>
    <row r="776">
      <c r="E776" s="48"/>
    </row>
    <row r="777">
      <c r="E777" s="48"/>
    </row>
    <row r="778">
      <c r="E778" s="48"/>
    </row>
    <row r="779">
      <c r="E779" s="48"/>
    </row>
    <row r="780">
      <c r="E780" s="48"/>
    </row>
    <row r="781">
      <c r="E781" s="48"/>
    </row>
    <row r="782">
      <c r="E782" s="48"/>
    </row>
    <row r="783">
      <c r="E783" s="48"/>
    </row>
    <row r="784">
      <c r="E784" s="48"/>
    </row>
    <row r="785">
      <c r="E785" s="48"/>
    </row>
    <row r="786">
      <c r="E786" s="48"/>
    </row>
    <row r="787">
      <c r="E787" s="48"/>
    </row>
    <row r="788">
      <c r="E788" s="48"/>
    </row>
    <row r="789">
      <c r="E789" s="48"/>
    </row>
    <row r="790">
      <c r="E790" s="48"/>
    </row>
    <row r="791">
      <c r="E791" s="48"/>
    </row>
    <row r="792">
      <c r="E792" s="48"/>
    </row>
    <row r="793">
      <c r="E793" s="48"/>
    </row>
    <row r="794">
      <c r="E794" s="48"/>
    </row>
    <row r="795">
      <c r="E795" s="48"/>
    </row>
    <row r="796">
      <c r="E796" s="48"/>
    </row>
    <row r="797">
      <c r="E797" s="48"/>
    </row>
    <row r="798">
      <c r="E798" s="48"/>
    </row>
    <row r="799">
      <c r="E799" s="48"/>
    </row>
    <row r="800">
      <c r="E800" s="48"/>
    </row>
    <row r="801">
      <c r="E801" s="48"/>
    </row>
    <row r="802">
      <c r="E802" s="48"/>
    </row>
    <row r="803">
      <c r="E803" s="48"/>
    </row>
    <row r="804">
      <c r="E804" s="48"/>
    </row>
    <row r="805">
      <c r="E805" s="48"/>
    </row>
    <row r="806">
      <c r="E806" s="48"/>
    </row>
    <row r="807">
      <c r="E807" s="48"/>
    </row>
    <row r="808">
      <c r="E808" s="48"/>
    </row>
    <row r="809">
      <c r="E809" s="48"/>
    </row>
    <row r="810">
      <c r="E810" s="48"/>
    </row>
    <row r="811">
      <c r="E811" s="48"/>
    </row>
    <row r="812">
      <c r="E812" s="48"/>
    </row>
    <row r="813">
      <c r="E813" s="48"/>
    </row>
    <row r="814">
      <c r="E814" s="48"/>
    </row>
    <row r="815">
      <c r="E815" s="48"/>
    </row>
    <row r="816">
      <c r="E816" s="48"/>
    </row>
    <row r="817">
      <c r="E817" s="48"/>
    </row>
    <row r="818">
      <c r="E818" s="48"/>
    </row>
    <row r="819">
      <c r="E819" s="48"/>
    </row>
    <row r="820">
      <c r="E820" s="48"/>
    </row>
    <row r="821">
      <c r="E821" s="48"/>
    </row>
    <row r="822">
      <c r="E822" s="48"/>
    </row>
    <row r="823">
      <c r="E823" s="48"/>
    </row>
    <row r="824">
      <c r="E824" s="48"/>
    </row>
    <row r="825">
      <c r="E825" s="48"/>
    </row>
    <row r="826">
      <c r="E826" s="48"/>
    </row>
    <row r="827">
      <c r="E827" s="48"/>
    </row>
    <row r="828">
      <c r="E828" s="48"/>
    </row>
    <row r="829">
      <c r="E829" s="48"/>
    </row>
    <row r="830">
      <c r="E830" s="48"/>
    </row>
    <row r="831">
      <c r="E831" s="48"/>
    </row>
    <row r="832">
      <c r="E832" s="48"/>
    </row>
    <row r="833">
      <c r="E833" s="48"/>
    </row>
    <row r="834">
      <c r="E834" s="48"/>
    </row>
    <row r="835">
      <c r="E835" s="48"/>
    </row>
    <row r="836">
      <c r="E836" s="48"/>
    </row>
    <row r="837">
      <c r="E837" s="48"/>
    </row>
    <row r="838">
      <c r="E838" s="48"/>
    </row>
    <row r="839">
      <c r="E839" s="48"/>
    </row>
    <row r="840">
      <c r="E840" s="48"/>
    </row>
    <row r="841">
      <c r="E841" s="48"/>
    </row>
    <row r="842">
      <c r="E842" s="48"/>
    </row>
    <row r="843">
      <c r="E843" s="48"/>
    </row>
    <row r="844">
      <c r="E844" s="48"/>
    </row>
    <row r="845">
      <c r="E845" s="48"/>
    </row>
    <row r="846">
      <c r="E846" s="48"/>
    </row>
    <row r="847">
      <c r="E847" s="48"/>
    </row>
    <row r="848">
      <c r="E848" s="48"/>
    </row>
    <row r="849">
      <c r="E849" s="48"/>
    </row>
    <row r="850">
      <c r="E850" s="48"/>
    </row>
    <row r="851">
      <c r="E851" s="48"/>
    </row>
    <row r="852">
      <c r="E852" s="48"/>
    </row>
    <row r="853">
      <c r="E853" s="48"/>
    </row>
    <row r="854">
      <c r="E854" s="48"/>
    </row>
    <row r="855">
      <c r="E855" s="48"/>
    </row>
    <row r="856">
      <c r="E856" s="48"/>
    </row>
    <row r="857">
      <c r="E857" s="48"/>
    </row>
    <row r="858">
      <c r="E858" s="48"/>
    </row>
    <row r="859">
      <c r="E859" s="48"/>
    </row>
    <row r="860">
      <c r="E860" s="48"/>
    </row>
    <row r="861">
      <c r="E861" s="48"/>
    </row>
    <row r="862">
      <c r="E862" s="48"/>
    </row>
    <row r="863">
      <c r="E863" s="48"/>
    </row>
    <row r="864">
      <c r="E864" s="48"/>
    </row>
    <row r="865">
      <c r="E865" s="48"/>
    </row>
    <row r="866">
      <c r="E866" s="48"/>
    </row>
    <row r="867">
      <c r="E867" s="48"/>
    </row>
    <row r="868">
      <c r="E868" s="48"/>
    </row>
    <row r="869">
      <c r="E869" s="48"/>
    </row>
    <row r="870">
      <c r="E870" s="48"/>
    </row>
    <row r="871">
      <c r="E871" s="48"/>
    </row>
    <row r="872">
      <c r="E872" s="48"/>
    </row>
    <row r="873">
      <c r="E873" s="48"/>
    </row>
    <row r="874">
      <c r="E874" s="48"/>
    </row>
    <row r="875">
      <c r="E875" s="48"/>
    </row>
    <row r="876">
      <c r="E876" s="48"/>
    </row>
    <row r="877">
      <c r="E877" s="48"/>
    </row>
    <row r="878">
      <c r="E878" s="48"/>
    </row>
    <row r="879">
      <c r="E879" s="48"/>
    </row>
    <row r="880">
      <c r="E880" s="48"/>
    </row>
    <row r="881">
      <c r="E881" s="48"/>
    </row>
    <row r="882">
      <c r="E882" s="48"/>
    </row>
    <row r="883">
      <c r="E883" s="48"/>
    </row>
    <row r="884">
      <c r="E884" s="48"/>
    </row>
    <row r="885">
      <c r="E885" s="48"/>
    </row>
    <row r="886">
      <c r="E886" s="48"/>
    </row>
    <row r="887">
      <c r="E887" s="48"/>
    </row>
    <row r="888">
      <c r="E888" s="48"/>
    </row>
    <row r="889">
      <c r="E889" s="48"/>
    </row>
    <row r="890">
      <c r="E890" s="48"/>
    </row>
    <row r="891">
      <c r="E891" s="48"/>
    </row>
    <row r="892">
      <c r="E892" s="48"/>
    </row>
    <row r="893">
      <c r="E893" s="48"/>
    </row>
    <row r="894">
      <c r="E894" s="48"/>
    </row>
    <row r="895">
      <c r="E895" s="48"/>
    </row>
    <row r="896">
      <c r="E896" s="48"/>
    </row>
    <row r="897">
      <c r="E897" s="48"/>
    </row>
    <row r="898">
      <c r="E898" s="48"/>
    </row>
    <row r="899">
      <c r="E899" s="48"/>
    </row>
    <row r="900">
      <c r="E900" s="48"/>
    </row>
    <row r="901">
      <c r="E901" s="48"/>
    </row>
    <row r="902">
      <c r="E902" s="48"/>
    </row>
    <row r="903">
      <c r="E903" s="48"/>
    </row>
    <row r="904">
      <c r="E904" s="48"/>
    </row>
    <row r="905">
      <c r="E905" s="48"/>
    </row>
    <row r="906">
      <c r="E906" s="48"/>
    </row>
    <row r="907">
      <c r="E907" s="48"/>
    </row>
    <row r="908">
      <c r="E908" s="48"/>
    </row>
    <row r="909">
      <c r="E909" s="48"/>
    </row>
    <row r="910">
      <c r="E910" s="48"/>
    </row>
    <row r="911">
      <c r="E911" s="48"/>
    </row>
    <row r="912">
      <c r="E912" s="48"/>
    </row>
    <row r="913">
      <c r="E913" s="48"/>
    </row>
    <row r="914">
      <c r="E914" s="48"/>
    </row>
    <row r="915">
      <c r="E915" s="48"/>
    </row>
    <row r="916">
      <c r="E916" s="48"/>
    </row>
    <row r="917">
      <c r="E917" s="48"/>
    </row>
    <row r="918">
      <c r="E918" s="48"/>
    </row>
    <row r="919">
      <c r="E919" s="48"/>
    </row>
    <row r="920">
      <c r="E920" s="48"/>
    </row>
    <row r="921">
      <c r="E921" s="48"/>
    </row>
    <row r="922">
      <c r="E922" s="48"/>
    </row>
    <row r="923">
      <c r="E923" s="48"/>
    </row>
    <row r="924">
      <c r="E924" s="48"/>
    </row>
    <row r="925">
      <c r="E925" s="48"/>
    </row>
    <row r="926">
      <c r="E926" s="48"/>
    </row>
    <row r="927">
      <c r="E927" s="48"/>
    </row>
    <row r="928">
      <c r="E928" s="48"/>
    </row>
    <row r="929">
      <c r="E929" s="48"/>
    </row>
    <row r="930">
      <c r="E930" s="48"/>
    </row>
    <row r="931">
      <c r="E931" s="48"/>
    </row>
    <row r="932">
      <c r="E932" s="48"/>
    </row>
    <row r="933">
      <c r="E933" s="48"/>
    </row>
    <row r="934">
      <c r="E934" s="48"/>
    </row>
    <row r="935">
      <c r="E935" s="48"/>
    </row>
    <row r="936">
      <c r="E936" s="48"/>
    </row>
    <row r="937">
      <c r="E937" s="48"/>
    </row>
    <row r="938">
      <c r="E938" s="48"/>
    </row>
    <row r="939">
      <c r="E939" s="48"/>
    </row>
    <row r="940">
      <c r="E940" s="48"/>
    </row>
    <row r="941">
      <c r="E941" s="48"/>
    </row>
    <row r="942">
      <c r="E942" s="48"/>
    </row>
    <row r="943">
      <c r="E943" s="48"/>
    </row>
    <row r="944">
      <c r="E944" s="48"/>
    </row>
    <row r="945">
      <c r="E945" s="48"/>
    </row>
    <row r="946">
      <c r="E946" s="48"/>
    </row>
    <row r="947">
      <c r="E947" s="48"/>
    </row>
    <row r="948">
      <c r="E948" s="48"/>
    </row>
    <row r="949">
      <c r="E949" s="48"/>
    </row>
    <row r="950">
      <c r="E950" s="48"/>
    </row>
    <row r="951">
      <c r="E951" s="48"/>
    </row>
    <row r="952">
      <c r="E952" s="48"/>
    </row>
    <row r="953">
      <c r="E953" s="48"/>
    </row>
    <row r="954">
      <c r="E954" s="48"/>
    </row>
    <row r="955">
      <c r="E955" s="48"/>
    </row>
    <row r="956">
      <c r="E956" s="48"/>
    </row>
    <row r="957">
      <c r="E957" s="48"/>
    </row>
    <row r="958">
      <c r="E958" s="48"/>
    </row>
    <row r="959">
      <c r="E959" s="48"/>
    </row>
    <row r="960">
      <c r="E960" s="48"/>
    </row>
    <row r="961">
      <c r="E961" s="48"/>
    </row>
    <row r="962">
      <c r="E962" s="48"/>
    </row>
    <row r="963">
      <c r="E963" s="48"/>
    </row>
    <row r="964">
      <c r="E964" s="48"/>
    </row>
    <row r="965">
      <c r="E965" s="48"/>
    </row>
    <row r="966">
      <c r="E966" s="48"/>
    </row>
    <row r="967">
      <c r="E967" s="48"/>
    </row>
    <row r="968">
      <c r="E968" s="48"/>
    </row>
    <row r="969">
      <c r="E969" s="48"/>
    </row>
    <row r="970">
      <c r="E970" s="48"/>
    </row>
    <row r="971">
      <c r="E971" s="48"/>
    </row>
    <row r="972">
      <c r="E972" s="48"/>
    </row>
    <row r="973">
      <c r="E973" s="48"/>
    </row>
    <row r="974">
      <c r="E974" s="48"/>
    </row>
    <row r="975">
      <c r="E975" s="48"/>
    </row>
    <row r="976">
      <c r="E976" s="48"/>
    </row>
    <row r="977">
      <c r="E977" s="48"/>
    </row>
    <row r="978">
      <c r="E978" s="48"/>
    </row>
    <row r="979">
      <c r="E979" s="48"/>
    </row>
    <row r="980">
      <c r="E980" s="48"/>
    </row>
    <row r="981">
      <c r="E981" s="48"/>
    </row>
    <row r="982">
      <c r="E982" s="48"/>
    </row>
    <row r="983">
      <c r="E983" s="48"/>
    </row>
    <row r="984">
      <c r="E984" s="48"/>
    </row>
    <row r="985">
      <c r="E985" s="48"/>
    </row>
    <row r="986">
      <c r="E986" s="48"/>
    </row>
    <row r="987">
      <c r="E987" s="48"/>
    </row>
    <row r="988">
      <c r="E988" s="48"/>
    </row>
    <row r="989">
      <c r="E989" s="48"/>
    </row>
    <row r="990">
      <c r="E990" s="48"/>
    </row>
    <row r="991">
      <c r="E991" s="48"/>
    </row>
    <row r="992">
      <c r="E992" s="48"/>
    </row>
    <row r="993">
      <c r="E993" s="48"/>
    </row>
    <row r="994">
      <c r="E994" s="48"/>
    </row>
    <row r="995">
      <c r="E995" s="48"/>
    </row>
    <row r="996">
      <c r="E996" s="48"/>
    </row>
    <row r="997">
      <c r="E997" s="48"/>
    </row>
    <row r="998">
      <c r="E998" s="48"/>
    </row>
    <row r="999">
      <c r="E999" s="48"/>
    </row>
  </sheetData>
  <drawing r:id="rId1"/>
</worksheet>
</file>